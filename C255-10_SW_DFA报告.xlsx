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5600" windowHeight="11750" tabRatio="926" firstSheet="0" activeTab="6" autoFilterDateGrouping="1"/>
  </bookViews>
  <sheets>
    <sheet name="封面" sheetId="1" state="visible" r:id="rId1"/>
    <sheet name="变更履历" sheetId="2" state="visible" r:id="rId2"/>
    <sheet name="General" sheetId="3" state="visible" r:id="rId3"/>
    <sheet name="SW Arch" sheetId="4" state="visible" r:id="rId4"/>
    <sheet name="Combination matrix" sheetId="5" state="visible" r:id="rId5"/>
    <sheet name="Top Event" sheetId="6" state="visible" r:id="rId6"/>
    <sheet name="SW_Safety_Analysis" sheetId="7" state="visible" r:id="rId7"/>
    <sheet name="Guide-Word" sheetId="8" state="visible" r:id="rId8"/>
    <sheet name="安全机制" sheetId="9" state="visible" r:id="rId9"/>
    <sheet name="模版变更履历" sheetId="10" state="visible"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_______GoA1">__________GoA1</definedName>
    <definedName name="_________GoA1">_________GoA1</definedName>
    <definedName name="_______GoA1">_______GoA1</definedName>
    <definedName name="______GoA1">______GoA1</definedName>
    <definedName name="_____GoA1">_____GoA1</definedName>
    <definedName name="____GoA1">____GoA1</definedName>
    <definedName name="___GoA1">___GoA1</definedName>
    <definedName name="__GoA1">__GoA1</definedName>
    <definedName name="_GoA1">_GoA1</definedName>
    <definedName name="_ML1">[2]分类数据!$C$3</definedName>
    <definedName name="_ML10">[2]分类数据!$C$12</definedName>
    <definedName name="_ML2">[2]分类数据!$C$4</definedName>
    <definedName name="_ML3">[2]分类数据!$C$5</definedName>
    <definedName name="_ML4">[2]分类数据!$C$6</definedName>
    <definedName name="_ML5">[2]分类数据!$C$7</definedName>
    <definedName name="_ML6">[2]分类数据!$C$8</definedName>
    <definedName name="_ML7">[2]分类数据!$C$9</definedName>
    <definedName name="_ML8">[2]分类数据!$C$10</definedName>
    <definedName name="_ML9">[2]分类数据!$C$11</definedName>
    <definedName name="a_">#REF!</definedName>
    <definedName name="a_A">#REF!</definedName>
    <definedName name="a_LED">#REF!</definedName>
    <definedName name="a_Mic">#REF!</definedName>
    <definedName name="a_Opti">#REF!</definedName>
    <definedName name="A_Plug">#REF!</definedName>
    <definedName name="ASIL">#REF!</definedName>
    <definedName name="b_">#REF!</definedName>
    <definedName name="b_F">#REF!</definedName>
    <definedName name="b_LED">#REF!</definedName>
    <definedName name="b_Mic">#REF!</definedName>
    <definedName name="b_Opti">#REF!</definedName>
    <definedName name="B_Plug">#REF!</definedName>
    <definedName name="BiCMOS" comment="Series/Logic Level of BiCMOS Semiconductor">#REF!</definedName>
    <definedName name="Bipolar" comment="Series/Logic Level of Bipolar Semiconductor">#REF!</definedName>
    <definedName name="c_">#REF!</definedName>
    <definedName name="C_Coax">#REF!</definedName>
    <definedName name="c_Fibr">#REF!</definedName>
    <definedName name="c_G">#REF!</definedName>
    <definedName name="c_Las">#REF!</definedName>
    <definedName name="c_Opti">#REF!</definedName>
    <definedName name="C_Value">#REF!</definedName>
    <definedName name="Capture.Capture">#N/A</definedName>
    <definedName name="CMOS" comment="Series/Logic Level of CMOS Semiconductor">#REF!</definedName>
    <definedName name="CMRight">[3]信息定义!$L$6:$L$10</definedName>
    <definedName name="Comm">#REF!</definedName>
    <definedName name="Compliance2">'[5]Comp Matrix - Adblue'!$N$5:$N$8</definedName>
    <definedName name="cont_range">#REF!</definedName>
    <definedName name="Control">#REF!</definedName>
    <definedName name="CT">'[6]Hazard Assessment'!$U$2:$U$6</definedName>
    <definedName name="d_">#REF!</definedName>
    <definedName name="d_DCF_">#REF!</definedName>
    <definedName name="d_Las">#REF!</definedName>
    <definedName name="d_T">#REF!</definedName>
    <definedName name="e.total">[8]同行评审!$M$8</definedName>
    <definedName name="e_">#REF!</definedName>
    <definedName name="e_A">#REF!</definedName>
    <definedName name="e_LED">#REF!</definedName>
    <definedName name="e_Opti">#REF!</definedName>
    <definedName name="E_Value">#REF!</definedName>
    <definedName name="effort.ta">[9]引言!#REF!</definedName>
    <definedName name="END_INITIALS">#REF!</definedName>
    <definedName name="exp_range">#REF!</definedName>
    <definedName name="Exposure">#REF!</definedName>
    <definedName name="f_">#REF!</definedName>
    <definedName name="f_Opti">#REF!</definedName>
    <definedName name="f_P">#REF!</definedName>
    <definedName name="f_SOA">#REF!</definedName>
    <definedName name="g_">#REF!</definedName>
    <definedName name="g_Opt">#REF!</definedName>
    <definedName name="g_Opti">#REF!</definedName>
    <definedName name="g_P">#REF!</definedName>
    <definedName name="h_">#REF!</definedName>
    <definedName name="h_Opti">#REF!</definedName>
    <definedName name="h_P">#REF!</definedName>
    <definedName name="High_">#REF!</definedName>
    <definedName name="i_">#REF!</definedName>
    <definedName name="i_Opti">#REF!</definedName>
    <definedName name="i_P">#REF!</definedName>
    <definedName name="INITIALS">#REF!</definedName>
    <definedName name="j_Ligh">#REF!</definedName>
    <definedName name="j_P">#REF!</definedName>
    <definedName name="MeasureKind">[11]信息定义!#REF!</definedName>
    <definedName name="Micr">#REF!</definedName>
    <definedName name="ObjectType">[13]估算系数!$A$9:$A$18</definedName>
    <definedName name="PA">#REF!</definedName>
    <definedName name="phase">[14]分类统计!$B$20:$B$24</definedName>
    <definedName name="Projektmitarbeiter">'[15]1_Role and Responsibilities'!$E$19:$H$32</definedName>
    <definedName name="S">'[6]Hazard Assessment'!$T$2:$T$6</definedName>
    <definedName name="S_Col">#REF!</definedName>
    <definedName name="Schot">#REF!</definedName>
    <definedName name="SDLC">#REF!</definedName>
    <definedName name="sev_range">#REF!</definedName>
    <definedName name="Severity">'[17]Form Identification'!$F$25:$F$26</definedName>
    <definedName name="size.ta">[9]引言!#REF!</definedName>
    <definedName name="SM_ID">'[18]Safety Mechanism'!$A$3:$A$45</definedName>
    <definedName name="Status">'[17]Form Identification'!$G$25:$G$27</definedName>
    <definedName name="Suppr">#REF!</definedName>
    <definedName name="t.all">[8]同行评审!#REF!</definedName>
    <definedName name="t.at">[8]同行评审!#REF!</definedName>
    <definedName name="t.dd">[8]同行评审!#REF!</definedName>
    <definedName name="t.it">[8]同行评审!#REF!</definedName>
    <definedName name="t.pd">[8]同行评审!#REF!</definedName>
    <definedName name="t.pr">[8]同行评审!#REF!</definedName>
    <definedName name="t.ra">[8]同行评审!#REF!</definedName>
    <definedName name="t.sd">[8]同行评审!#REF!</definedName>
    <definedName name="t.st1">[8]同行评审!#REF!</definedName>
    <definedName name="t.st2">[8]同行评审!#REF!</definedName>
    <definedName name="t.st3">[8]同行评审!#REF!</definedName>
    <definedName name="t.ut">[8]同行评审!#REF!</definedName>
    <definedName name="Total.type">#REF!</definedName>
    <definedName name="tp.ra">[8]同行评审!#REF!</definedName>
    <definedName name="Type">'[17]Form Identification'!$H$25:$H$31</definedName>
    <definedName name="Unive">#REF!</definedName>
    <definedName name="Ver">'[17]Form Identification'!$I$25:$I$26</definedName>
    <definedName name="WORKDAYS">'[20]1.概述'!$H$4</definedName>
    <definedName name="workflow1">[14]分类统计!$B$4:$B$15</definedName>
    <definedName name="WorkHardLevel">[13]估算系数!$A$2:$A$6</definedName>
    <definedName name="Zenor">#REF!</definedName>
    <definedName name="担当">[21]分类数据!$D$3</definedName>
    <definedName name="等级对应值">#REF!</definedName>
    <definedName name="度量分類">[23]分類表BKP!$A$1:$A$15</definedName>
    <definedName name="度量中分類">[23]分類表BKP!$B$1:$B$15</definedName>
    <definedName name="改进策略">#REF!</definedName>
    <definedName name="改进机会来源">#REF!</definedName>
    <definedName name="改进机会状态">#REF!</definedName>
    <definedName name="改进类型">#REF!</definedName>
    <definedName name="工作产品">[21]分类数据!$E$3:$E$15</definedName>
    <definedName name="阶段">[21]分类数据!$B$3:$B$14</definedName>
    <definedName name="靠">#REF!</definedName>
    <definedName name="模块">[21]分类数据!$C$3</definedName>
    <definedName name="难度等级对应系数">'[24]7.估算係數'!$B$5:$C$9</definedName>
    <definedName name="评审类别">[21]分类数据!$F$3:$F$5</definedName>
    <definedName name="状态">[21]分类数据!$G$3:$G$4</definedName>
    <definedName name="__________GoA1" localSheetId="0">封面!__________GoA1</definedName>
    <definedName name="_________GoA1" localSheetId="0">封面!_________GoA1</definedName>
    <definedName name="_______GoA1" localSheetId="0">封面!_______GoA1</definedName>
    <definedName name="______GoA1" localSheetId="0">封面!______GoA1</definedName>
    <definedName name="_____GoA1" localSheetId="0">封面!_____GoA1</definedName>
    <definedName name="____GoA1" localSheetId="0">封面!____GoA1</definedName>
    <definedName name="___GoA1" localSheetId="0">封面!___GoA1</definedName>
    <definedName name="__GoA1" localSheetId="0">封面!__GoA1</definedName>
    <definedName name="_GoA1" localSheetId="0">封面!_GoA1</definedName>
    <definedName name="_ML1" localSheetId="0">[1]分类数据!$C$3</definedName>
    <definedName name="_ML10" localSheetId="0">[1]分类数据!$C$12</definedName>
    <definedName name="_ML2" localSheetId="0">[1]分类数据!$C$4</definedName>
    <definedName name="_ML3" localSheetId="0">[1]分类数据!$C$5</definedName>
    <definedName name="_ML4" localSheetId="0">[1]分类数据!$C$6</definedName>
    <definedName name="_ML5" localSheetId="0">[1]分类数据!$C$7</definedName>
    <definedName name="_ML6" localSheetId="0">[1]分类数据!$C$8</definedName>
    <definedName name="_ML7" localSheetId="0">[1]分类数据!$C$9</definedName>
    <definedName name="_ML8" localSheetId="0">[1]分类数据!$C$10</definedName>
    <definedName name="_ML9" localSheetId="0">[1]分类数据!$C$11</definedName>
    <definedName name="Compliance2" localSheetId="0">'[4]Comp Matrix - Adblue'!$N$5:$N$8</definedName>
    <definedName name="e.total" localSheetId="0">[7]同行评审!$M$8</definedName>
    <definedName name="effort.ta" localSheetId="0">[9]引言!#REF!</definedName>
    <definedName name="END_INITIALS" localSheetId="0">#REF!</definedName>
    <definedName name="INITIALS" localSheetId="0">#REF!</definedName>
    <definedName name="MeasureKind" localSheetId="0">[10]信息定义!#REF!</definedName>
    <definedName name="ObjectType" localSheetId="0">[12]估算系数!$A$9:$A$18</definedName>
    <definedName name="PA" localSheetId="0">#REF!</definedName>
    <definedName name="SDLC" localSheetId="0">#REF!</definedName>
    <definedName name="Severity" localSheetId="0">'[16]Form Identification'!$F$25:$F$26</definedName>
    <definedName name="size.ta" localSheetId="0">[9]引言!#REF!</definedName>
    <definedName name="Status" localSheetId="0">'[16]Form Identification'!$G$25:$G$27</definedName>
    <definedName name="t.all" localSheetId="0">[7]同行评审!#REF!</definedName>
    <definedName name="t.at" localSheetId="0">[7]同行评审!#REF!</definedName>
    <definedName name="t.dd" localSheetId="0">[7]同行评审!#REF!</definedName>
    <definedName name="t.it" localSheetId="0">[7]同行评审!#REF!</definedName>
    <definedName name="t.pd" localSheetId="0">[7]同行评审!#REF!</definedName>
    <definedName name="t.pr" localSheetId="0">[7]同行评审!#REF!</definedName>
    <definedName name="t.ra" localSheetId="0">[7]同行评审!#REF!</definedName>
    <definedName name="t.sd" localSheetId="0">[7]同行评审!#REF!</definedName>
    <definedName name="t.st1" localSheetId="0">[7]同行评审!#REF!</definedName>
    <definedName name="t.st2" localSheetId="0">[7]同行评审!#REF!</definedName>
    <definedName name="t.st3" localSheetId="0">[7]同行评审!#REF!</definedName>
    <definedName name="t.ut" localSheetId="0">[7]同行评审!#REF!</definedName>
    <definedName name="Total.type" localSheetId="0">#REF!</definedName>
    <definedName name="tp.ra" localSheetId="0">[7]同行评审!#REF!</definedName>
    <definedName name="Type" localSheetId="0">'[16]Form Identification'!$H$25:$H$31</definedName>
    <definedName name="Ver" localSheetId="0">'[16]Form Identification'!$I$25:$I$26</definedName>
    <definedName name="WORKDAYS" localSheetId="0">'[19]1.概述'!$H$4</definedName>
    <definedName name="WorkHardLevel" localSheetId="0">[12]估算系数!$A$2:$A$6</definedName>
    <definedName name="等级对应值" localSheetId="0">#REF!</definedName>
    <definedName name="度量分類" localSheetId="0">[22]分類表BKP!$A$1:$A$15</definedName>
    <definedName name="度量中分類" localSheetId="0">[22]分類表BKP!$B$1:$B$15</definedName>
    <definedName name="改进策略" localSheetId="0">#REF!</definedName>
    <definedName name="改进机会来源" localSheetId="0">#REF!</definedName>
    <definedName name="改进机会状态" localSheetId="0">#REF!</definedName>
    <definedName name="改进类型" localSheetId="0">#REF!</definedName>
    <definedName name="靠" localSheetId="0">#REF!</definedName>
    <definedName name="__________GoA1" localSheetId="1">变更履历!__________GoA1</definedName>
    <definedName name="_________GoA1" localSheetId="1">变更履历!_________GoA1</definedName>
    <definedName name="_______GoA1" localSheetId="1">变更履历!_______GoA1</definedName>
    <definedName name="______GoA1" localSheetId="1">变更履历!______GoA1</definedName>
    <definedName name="_____GoA1" localSheetId="1">变更履历!_____GoA1</definedName>
    <definedName name="____GoA1" localSheetId="1">变更履历!____GoA1</definedName>
    <definedName name="___GoA1" localSheetId="1">变更履历!___GoA1</definedName>
    <definedName name="__GoA1" localSheetId="1">变更履历!__GoA1</definedName>
    <definedName name="_GoA1" localSheetId="1">变更履历!_GoA1</definedName>
    <definedName name="_ML1" localSheetId="1">[1]分类数据!$C$3</definedName>
    <definedName name="_ML10" localSheetId="1">[1]分类数据!$C$12</definedName>
    <definedName name="_ML2" localSheetId="1">[1]分类数据!$C$4</definedName>
    <definedName name="_ML3" localSheetId="1">[1]分类数据!$C$5</definedName>
    <definedName name="_ML4" localSheetId="1">[1]分类数据!$C$6</definedName>
    <definedName name="_ML5" localSheetId="1">[1]分类数据!$C$7</definedName>
    <definedName name="_ML6" localSheetId="1">[1]分类数据!$C$8</definedName>
    <definedName name="_ML7" localSheetId="1">[1]分类数据!$C$9</definedName>
    <definedName name="_ML8" localSheetId="1">[1]分类数据!$C$10</definedName>
    <definedName name="_ML9" localSheetId="1">[1]分类数据!$C$11</definedName>
    <definedName name="Compliance2" localSheetId="1">'[4]Comp Matrix - Adblue'!$N$5:$N$8</definedName>
    <definedName name="e.total" localSheetId="1">[7]同行评审!$M$8</definedName>
    <definedName name="effort.ta" localSheetId="1">[9]引言!#REF!</definedName>
    <definedName name="END_INITIALS" localSheetId="1">#REF!</definedName>
    <definedName name="INITIALS" localSheetId="1">#REF!</definedName>
    <definedName name="MeasureKind" localSheetId="1">[10]信息定义!#REF!</definedName>
    <definedName name="ObjectType" localSheetId="1">[12]估算系数!$A$9:$A$18</definedName>
    <definedName name="PA" localSheetId="1">#REF!</definedName>
    <definedName name="SDLC" localSheetId="1">#REF!</definedName>
    <definedName name="Severity" localSheetId="1">#REF!</definedName>
    <definedName name="size.ta" localSheetId="1">[9]引言!#REF!</definedName>
    <definedName name="Status" localSheetId="1">'[16]Form Identification'!$G$25:$G$27</definedName>
    <definedName name="t.all" localSheetId="1">[7]同行评审!#REF!</definedName>
    <definedName name="t.at" localSheetId="1">[7]同行评审!#REF!</definedName>
    <definedName name="t.dd" localSheetId="1">[7]同行评审!#REF!</definedName>
    <definedName name="t.it" localSheetId="1">[7]同行评审!#REF!</definedName>
    <definedName name="t.pd" localSheetId="1">[7]同行评审!#REF!</definedName>
    <definedName name="t.pr" localSheetId="1">[7]同行评审!#REF!</definedName>
    <definedName name="t.ra" localSheetId="1">[7]同行评审!#REF!</definedName>
    <definedName name="t.sd" localSheetId="1">[7]同行评审!#REF!</definedName>
    <definedName name="t.st1" localSheetId="1">[7]同行评审!#REF!</definedName>
    <definedName name="t.st2" localSheetId="1">[7]同行评审!#REF!</definedName>
    <definedName name="t.st3" localSheetId="1">[7]同行评审!#REF!</definedName>
    <definedName name="t.ut" localSheetId="1">[7]同行评审!#REF!</definedName>
    <definedName name="Total.type" localSheetId="1">#REF!</definedName>
    <definedName name="tp.ra" localSheetId="1">[7]同行评审!#REF!</definedName>
    <definedName name="Type" localSheetId="1">'[16]Form Identification'!$H$25:$H$31</definedName>
    <definedName name="Ver" localSheetId="1">'[16]Form Identification'!$I$25:$I$26</definedName>
    <definedName name="WORKDAYS" localSheetId="1">'[19]1.概述'!$H$4</definedName>
    <definedName name="WorkHardLevel" localSheetId="1">[12]估算系数!$A$2:$A$6</definedName>
    <definedName name="等级对应值" localSheetId="1">#REF!</definedName>
    <definedName name="度量分類" localSheetId="1">[22]分類表BKP!$A$1:$A$15</definedName>
    <definedName name="度量中分類" localSheetId="1">[22]分類表BKP!$B$1:$B$15</definedName>
    <definedName name="改进策略" localSheetId="1">#REF!</definedName>
    <definedName name="改进机会来源" localSheetId="1">#REF!</definedName>
    <definedName name="改进机会状态" localSheetId="1">#REF!</definedName>
    <definedName name="改进类型" localSheetId="1">#REF!</definedName>
    <definedName name="靠" localSheetId="1">#REF!</definedName>
    <definedName name="_xlnm.Print_Area" localSheetId="1">'变更履历'!$A$1:$G$25</definedName>
    <definedName name="_Toc512252622" localSheetId="2">General!$A$1</definedName>
    <definedName name="__________GoA1" localSheetId="9">模版变更履历!__________GoA1</definedName>
    <definedName name="_________GoA1" localSheetId="9">模版变更履历!_________GoA1</definedName>
    <definedName name="_______GoA1" localSheetId="9">模版变更履历!_______GoA1</definedName>
    <definedName name="______GoA1" localSheetId="9">模版变更履历!______GoA1</definedName>
    <definedName name="_____GoA1" localSheetId="9">模版变更履历!_____GoA1</definedName>
    <definedName name="____GoA1" localSheetId="9">模版变更履历!____GoA1</definedName>
    <definedName name="___GoA1" localSheetId="9">模版变更履历!___GoA1</definedName>
    <definedName name="__GoA1" localSheetId="9">模版变更履历!__GoA1</definedName>
    <definedName name="_GoA1" localSheetId="9">模版变更履历!_GoA1</definedName>
    <definedName name="_ML1" localSheetId="9">[1]分类数据!$C$3</definedName>
    <definedName name="_ML10" localSheetId="9">[1]分类数据!$C$12</definedName>
    <definedName name="_ML2" localSheetId="9">[1]分类数据!$C$4</definedName>
    <definedName name="_ML3" localSheetId="9">[1]分类数据!$C$5</definedName>
    <definedName name="_ML4" localSheetId="9">[1]分类数据!$C$6</definedName>
    <definedName name="_ML5" localSheetId="9">[1]分类数据!$C$7</definedName>
    <definedName name="_ML6" localSheetId="9">[1]分类数据!$C$8</definedName>
    <definedName name="_ML7" localSheetId="9">[1]分类数据!$C$9</definedName>
    <definedName name="_ML8" localSheetId="9">[1]分类数据!$C$10</definedName>
    <definedName name="_ML9" localSheetId="9">[1]分类数据!$C$11</definedName>
    <definedName name="a_" localSheetId="9">#REF!</definedName>
    <definedName name="a_A" localSheetId="9">#REF!</definedName>
    <definedName name="a_LED" localSheetId="9">#REF!</definedName>
    <definedName name="a_Mic" localSheetId="9">#REF!</definedName>
    <definedName name="a_Opti" localSheetId="9">#REF!</definedName>
    <definedName name="A_Plug" localSheetId="9">#REF!</definedName>
    <definedName name="ASIL" localSheetId="9">#REF!</definedName>
    <definedName name="b_" localSheetId="9">#REF!</definedName>
    <definedName name="b_F" localSheetId="9">#REF!</definedName>
    <definedName name="b_LED" localSheetId="9">#REF!</definedName>
    <definedName name="b_Mic" localSheetId="9">#REF!</definedName>
    <definedName name="b_Opti" localSheetId="9">#REF!</definedName>
    <definedName name="B_Plug" localSheetId="9">#REF!</definedName>
    <definedName name="BiCMOS" comment="Series/Logic Level of BiCMOS Semiconductor" localSheetId="9">#REF!</definedName>
    <definedName name="Bipolar" comment="Series/Logic Level of Bipolar Semiconductor" localSheetId="9">#REF!</definedName>
    <definedName name="c_" localSheetId="9">#REF!</definedName>
    <definedName name="C_Coax" localSheetId="9">#REF!</definedName>
    <definedName name="c_Fibr" localSheetId="9">#REF!</definedName>
    <definedName name="c_G" localSheetId="9">#REF!</definedName>
    <definedName name="c_Las" localSheetId="9">#REF!</definedName>
    <definedName name="c_Opti" localSheetId="9">#REF!</definedName>
    <definedName name="C_Value" localSheetId="9">#REF!</definedName>
    <definedName name="CMOS" comment="Series/Logic Level of CMOS Semiconductor" localSheetId="9">#REF!</definedName>
    <definedName name="Comm" localSheetId="9">#REF!</definedName>
    <definedName name="Compliance2" localSheetId="9">'[4]Comp Matrix - Adblue'!$N$5:$N$8</definedName>
    <definedName name="cont_range" localSheetId="9">#REF!</definedName>
    <definedName name="Control" localSheetId="9">#REF!</definedName>
    <definedName name="d_" localSheetId="9">#REF!</definedName>
    <definedName name="d_DCF_" localSheetId="9">#REF!</definedName>
    <definedName name="d_Las" localSheetId="9">#REF!</definedName>
    <definedName name="d_T" localSheetId="9">#REF!</definedName>
    <definedName name="e.total" localSheetId="9">[7]同行评审!$M$8</definedName>
    <definedName name="e_" localSheetId="9">#REF!</definedName>
    <definedName name="e_A" localSheetId="9">#REF!</definedName>
    <definedName name="e_LED" localSheetId="9">#REF!</definedName>
    <definedName name="e_Opti" localSheetId="9">#REF!</definedName>
    <definedName name="E_Value" localSheetId="9">#REF!</definedName>
    <definedName name="effort.ta" localSheetId="9">[9]引言!#REF!</definedName>
    <definedName name="END_INITIALS" localSheetId="9">#REF!</definedName>
    <definedName name="exp_range" localSheetId="9">#REF!</definedName>
    <definedName name="Exposure" localSheetId="9">#REF!</definedName>
    <definedName name="f_" localSheetId="9">#REF!</definedName>
    <definedName name="f_Opti" localSheetId="9">#REF!</definedName>
    <definedName name="f_P" localSheetId="9">#REF!</definedName>
    <definedName name="f_SOA" localSheetId="9">#REF!</definedName>
    <definedName name="g_" localSheetId="9">#REF!</definedName>
    <definedName name="g_Opt" localSheetId="9">#REF!</definedName>
    <definedName name="g_Opti" localSheetId="9">#REF!</definedName>
    <definedName name="g_P" localSheetId="9">#REF!</definedName>
    <definedName name="h_" localSheetId="9">#REF!</definedName>
    <definedName name="h_Opti" localSheetId="9">#REF!</definedName>
    <definedName name="h_P" localSheetId="9">#REF!</definedName>
    <definedName name="High_" localSheetId="9">#REF!</definedName>
    <definedName name="i_" localSheetId="9">#REF!</definedName>
    <definedName name="i_Opti" localSheetId="9">#REF!</definedName>
    <definedName name="i_P" localSheetId="9">#REF!</definedName>
    <definedName name="INITIALS" localSheetId="9">#REF!</definedName>
    <definedName name="j_Ligh" localSheetId="9">#REF!</definedName>
    <definedName name="j_P" localSheetId="9">#REF!</definedName>
    <definedName name="MeasureKind" localSheetId="9">[10]信息定义!#REF!</definedName>
    <definedName name="Micr" localSheetId="9">#REF!</definedName>
    <definedName name="ObjectType" localSheetId="9">[12]估算系数!$A$9:$A$18</definedName>
    <definedName name="PA" localSheetId="9">#REF!</definedName>
    <definedName name="S_Col" localSheetId="9">#REF!</definedName>
    <definedName name="Schot" localSheetId="9">#REF!</definedName>
    <definedName name="SDLC" localSheetId="9">#REF!</definedName>
    <definedName name="sev_range" localSheetId="9">#REF!</definedName>
    <definedName name="Severity" localSheetId="9">#REF!</definedName>
    <definedName name="size.ta" localSheetId="9">[9]引言!#REF!</definedName>
    <definedName name="Status" localSheetId="9">'[16]Form Identification'!$G$25:$G$27</definedName>
    <definedName name="Suppr" localSheetId="9">#REF!</definedName>
    <definedName name="t.all" localSheetId="9">[7]同行评审!#REF!</definedName>
    <definedName name="t.at" localSheetId="9">[7]同行评审!#REF!</definedName>
    <definedName name="t.dd" localSheetId="9">[7]同行评审!#REF!</definedName>
    <definedName name="t.it" localSheetId="9">[7]同行评审!#REF!</definedName>
    <definedName name="t.pd" localSheetId="9">[7]同行评审!#REF!</definedName>
    <definedName name="t.pr" localSheetId="9">[7]同行评审!#REF!</definedName>
    <definedName name="t.ra" localSheetId="9">[7]同行评审!#REF!</definedName>
    <definedName name="t.sd" localSheetId="9">[7]同行评审!#REF!</definedName>
    <definedName name="t.st1" localSheetId="9">[7]同行评审!#REF!</definedName>
    <definedName name="t.st2" localSheetId="9">[7]同行评审!#REF!</definedName>
    <definedName name="t.st3" localSheetId="9">[7]同行评审!#REF!</definedName>
    <definedName name="t.ut" localSheetId="9">[7]同行评审!#REF!</definedName>
    <definedName name="Total.type" localSheetId="9">#REF!</definedName>
    <definedName name="tp.ra" localSheetId="9">[7]同行评审!#REF!</definedName>
    <definedName name="Type" localSheetId="9">'[16]Form Identification'!$H$25:$H$31</definedName>
    <definedName name="Unive" localSheetId="9">#REF!</definedName>
    <definedName name="Ver" localSheetId="9">'[16]Form Identification'!$I$25:$I$26</definedName>
    <definedName name="WORKDAYS" localSheetId="9">'[19]1.概述'!$H$4</definedName>
    <definedName name="WorkHardLevel" localSheetId="9">[12]估算系数!$A$2:$A$6</definedName>
    <definedName name="Zenor" localSheetId="9">#REF!</definedName>
    <definedName name="等级对应值" localSheetId="9">#REF!</definedName>
    <definedName name="度量分類" localSheetId="9">[22]分類表BKP!$A$1:$A$15</definedName>
    <definedName name="度量中分類" localSheetId="9">[22]分類表BKP!$B$1:$B$15</definedName>
    <definedName name="改进策略" localSheetId="9">#REF!</definedName>
    <definedName name="改进机会来源" localSheetId="9">#REF!</definedName>
    <definedName name="改进机会状态" localSheetId="9">#REF!</definedName>
    <definedName name="改进类型" localSheetId="9">#REF!</definedName>
    <definedName name="靠" localSheetId="9">#REF!</definedName>
    <definedName name="_xlnm.Print_Area" localSheetId="9">'模版变更履历'!$A$1:$G$25</definedName>
  </definedNames>
  <calcPr calcId="191029" fullCalcOnLoad="1"/>
</workbook>
</file>

<file path=xl/styles.xml><?xml version="1.0" encoding="utf-8"?>
<styleSheet xmlns="http://schemas.openxmlformats.org/spreadsheetml/2006/main">
  <numFmts count="1">
    <numFmt numFmtId="164" formatCode="[$¥-804]#,##0.0000000000000;[$¥-804]\-#,##0.0000000000000"/>
  </numFmts>
  <fonts count="82">
    <font>
      <name val="Arial"/>
      <charset val="134"/>
      <color theme="1"/>
      <sz val="11"/>
      <scheme val="minor"/>
    </font>
    <font>
      <name val="微软雅黑"/>
      <charset val="134"/>
      <sz val="10"/>
    </font>
    <font>
      <name val="宋体"/>
      <charset val="134"/>
      <b val="1"/>
      <sz val="16"/>
    </font>
    <font>
      <name val="宋体"/>
      <charset val="134"/>
      <color theme="0"/>
      <sz val="11"/>
    </font>
    <font>
      <name val="Arial"/>
      <charset val="134"/>
      <sz val="11"/>
      <scheme val="minor"/>
    </font>
    <font>
      <name val="Calibri"/>
      <charset val="134"/>
      <sz val="10"/>
    </font>
    <font>
      <name val="Arial"/>
      <charset val="134"/>
      <b val="1"/>
      <color theme="0"/>
      <sz val="11"/>
    </font>
    <font>
      <name val="微软雅黑"/>
      <charset val="134"/>
      <color rgb="FF0702C4"/>
      <sz val="10"/>
    </font>
    <font>
      <name val="Arial"/>
      <charset val="134"/>
      <color rgb="FF0702C4"/>
      <sz val="10"/>
    </font>
    <font>
      <name val="Arial"/>
      <charset val="134"/>
      <b val="1"/>
      <color theme="1"/>
      <sz val="10"/>
    </font>
    <font>
      <name val="Calibri"/>
      <charset val="134"/>
      <color theme="1"/>
      <sz val="10"/>
    </font>
    <font>
      <name val="Calibri"/>
      <charset val="134"/>
      <color indexed="8"/>
      <sz val="11"/>
    </font>
    <font>
      <name val="Calibri"/>
      <charset val="134"/>
      <color indexed="8"/>
      <sz val="10"/>
    </font>
    <font>
      <name val="Calibri"/>
      <charset val="134"/>
      <b val="1"/>
      <color theme="1"/>
      <sz val="10"/>
    </font>
    <font>
      <name val="Calibri"/>
      <charset val="134"/>
      <b val="1"/>
      <color theme="1"/>
      <sz val="12"/>
    </font>
    <font>
      <name val="宋体"/>
      <charset val="134"/>
      <b val="1"/>
      <color theme="1"/>
      <sz val="12"/>
    </font>
    <font>
      <name val="宋体"/>
      <charset val="134"/>
      <color indexed="8"/>
      <sz val="11"/>
    </font>
    <font>
      <name val="宋体"/>
      <charset val="134"/>
      <color theme="1"/>
      <sz val="10"/>
    </font>
    <font>
      <name val="Segoe UI"/>
      <charset val="134"/>
      <color rgb="FF101214"/>
      <sz val="7"/>
    </font>
    <font>
      <name val="宋体"/>
      <charset val="134"/>
      <b val="1"/>
      <color theme="1"/>
      <sz val="10"/>
    </font>
    <font>
      <name val="Cambria"/>
      <charset val="134"/>
      <sz val="10"/>
    </font>
    <font>
      <name val="Cambria"/>
      <charset val="134"/>
      <color theme="7" tint="-0.249977111117893"/>
      <sz val="12"/>
    </font>
    <font>
      <name val="Cambria"/>
      <charset val="134"/>
      <sz val="12"/>
    </font>
    <font>
      <name val="Cambria"/>
      <charset val="134"/>
      <b val="1"/>
      <color theme="0"/>
      <sz val="14"/>
    </font>
    <font>
      <name val="宋体"/>
      <charset val="134"/>
      <sz val="12"/>
    </font>
    <font>
      <name val="Cambria"/>
      <charset val="134"/>
      <b val="1"/>
      <color theme="0"/>
      <sz val="10"/>
    </font>
    <font>
      <name val="Cambria"/>
      <charset val="134"/>
      <b val="1"/>
      <sz val="10"/>
    </font>
    <font>
      <name val="宋体"/>
      <charset val="134"/>
      <sz val="10"/>
    </font>
    <font>
      <name val="Cambria"/>
      <charset val="134"/>
      <color theme="7" tint="-0.249977111117893"/>
      <sz val="10"/>
    </font>
    <font>
      <name val="Cambria"/>
      <charset val="134"/>
      <color theme="1"/>
      <sz val="12"/>
    </font>
    <font>
      <name val="Calibri"/>
      <charset val="134"/>
      <color rgb="FF002060"/>
      <sz val="11"/>
    </font>
    <font>
      <name val="Arial"/>
      <charset val="134"/>
      <color theme="1"/>
      <sz val="10"/>
    </font>
    <font>
      <name val="微软雅黑"/>
      <charset val="134"/>
      <b val="1"/>
      <color theme="0"/>
      <sz val="11"/>
    </font>
    <font>
      <name val="宋体"/>
      <charset val="134"/>
      <i val="1"/>
      <color theme="5" tint="-0.249977111117893"/>
      <sz val="11"/>
    </font>
    <font>
      <name val="Arial"/>
      <charset val="134"/>
      <i val="1"/>
      <color theme="5" tint="-0.249977111117893"/>
      <sz val="11"/>
    </font>
    <font>
      <name val="Arial"/>
      <charset val="134"/>
      <i val="1"/>
      <color rgb="FF0000FF"/>
      <sz val="11"/>
    </font>
    <font>
      <name val="MS Gothic"/>
      <charset val="134"/>
      <b val="1"/>
      <color rgb="FF000000"/>
      <sz val="9"/>
    </font>
    <font>
      <name val="Times New Roman"/>
      <charset val="134"/>
      <color rgb="FF000000"/>
      <sz val="9"/>
    </font>
    <font>
      <name val="宋体"/>
      <charset val="134"/>
      <color theme="1"/>
      <sz val="11"/>
    </font>
    <font>
      <name val="宋体"/>
      <charset val="134"/>
      <color theme="1"/>
      <sz val="10.5"/>
    </font>
    <font>
      <name val="Arial"/>
      <charset val="134"/>
      <color theme="1"/>
      <sz val="11"/>
      <scheme val="minor"/>
    </font>
    <font>
      <name val="微软雅黑"/>
      <charset val="134"/>
      <color theme="1"/>
      <sz val="10"/>
    </font>
    <font>
      <name val="宋体"/>
      <charset val="134"/>
      <b val="1"/>
      <color theme="1"/>
      <sz val="11"/>
    </font>
    <font>
      <name val="微软雅黑"/>
      <charset val="134"/>
      <b val="1"/>
      <color theme="1"/>
      <sz val="10.5"/>
    </font>
    <font>
      <name val="微软雅黑"/>
      <charset val="134"/>
      <color theme="1"/>
      <sz val="10.5"/>
    </font>
    <font>
      <name val="Arial"/>
      <charset val="134"/>
      <sz val="11"/>
      <scheme val="minor"/>
    </font>
    <font>
      <name val="Arial"/>
      <charset val="134"/>
      <color theme="1"/>
      <sz val="11"/>
      <scheme val="minor"/>
    </font>
    <font>
      <name val="Arial"/>
      <charset val="134"/>
      <b val="1"/>
      <color theme="1"/>
      <sz val="16"/>
      <scheme val="minor"/>
    </font>
    <font>
      <name val="Arial"/>
      <charset val="134"/>
      <b val="1"/>
      <color theme="1"/>
      <sz val="11"/>
      <scheme val="minor"/>
    </font>
    <font>
      <name val="Arial"/>
      <charset val="134"/>
      <b val="1"/>
      <color theme="1"/>
      <sz val="22"/>
      <scheme val="minor"/>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Arial"/>
      <charset val="134"/>
      <sz val="10"/>
    </font>
    <font>
      <name val="Arial"/>
      <charset val="134"/>
      <color theme="0"/>
      <sz val="10"/>
    </font>
    <font>
      <name val="宋体"/>
      <charset val="134"/>
      <color theme="1"/>
      <sz val="10"/>
    </font>
    <font>
      <name val="Arial"/>
      <charset val="134"/>
      <b val="1"/>
      <color theme="1"/>
      <sz val="22"/>
      <scheme val="minor"/>
    </font>
    <font>
      <name val="宋体"/>
      <charset val="134"/>
      <b val="1"/>
      <sz val="10"/>
    </font>
    <font>
      <name val="Arial"/>
      <charset val="134"/>
      <color theme="1"/>
      <sz val="10"/>
      <scheme val="minor"/>
    </font>
    <font>
      <name val="Tahoma"/>
      <charset val="134"/>
      <color rgb="FF000000"/>
      <sz val="9"/>
    </font>
    <font>
      <name val="Tahoma"/>
      <charset val="134"/>
      <b val="1"/>
      <color rgb="FF000000"/>
      <sz val="10"/>
    </font>
    <font>
      <name val="宋体"/>
      <charset val="134"/>
      <b val="1"/>
      <color rgb="FF000000"/>
      <sz val="9"/>
    </font>
    <font>
      <name val="Tahoma"/>
      <charset val="134"/>
      <color rgb="FF000000"/>
      <sz val="10"/>
    </font>
    <font>
      <name val="宋体"/>
      <charset val="134"/>
      <color rgb="FF000000"/>
      <sz val="10"/>
    </font>
    <font>
      <name val="Tahoma"/>
      <charset val="134"/>
      <b val="1"/>
      <color rgb="FF000000"/>
      <sz val="9"/>
    </font>
    <font>
      <b val="1"/>
      <color rgb="00FFFFFF"/>
    </font>
  </fonts>
  <fills count="53">
    <fill>
      <patternFill/>
    </fill>
    <fill>
      <patternFill patternType="gray125"/>
    </fill>
    <fill>
      <patternFill patternType="solid">
        <fgColor theme="0"/>
        <bgColor indexed="64"/>
      </patternFill>
    </fill>
    <fill>
      <patternFill patternType="solid">
        <fgColor rgb="FF006AB2"/>
        <bgColor indexed="64"/>
      </patternFill>
    </fill>
    <fill>
      <patternFill patternType="solid">
        <fgColor rgb="FF0070C0"/>
        <bgColor indexed="64"/>
      </patternFill>
    </fill>
    <fill>
      <patternFill patternType="solid">
        <fgColor theme="8" tint="0.799920651875362"/>
        <bgColor indexed="64"/>
      </patternFill>
    </fill>
    <fill>
      <patternFill patternType="solid">
        <fgColor theme="9" tint="0.799920651875362"/>
        <bgColor indexed="64"/>
      </patternFill>
    </fill>
    <fill>
      <patternFill patternType="solid">
        <fgColor rgb="FFC6FFFF"/>
        <bgColor indexed="64"/>
      </patternFill>
    </fill>
    <fill>
      <patternFill patternType="solid">
        <fgColor rgb="FFA7E8FF"/>
        <bgColor indexed="64"/>
      </patternFill>
    </fill>
    <fill>
      <patternFill patternType="solid">
        <fgColor theme="8" tint="-0.499984740745262"/>
        <bgColor indexed="64"/>
      </patternFill>
    </fill>
    <fill>
      <patternFill patternType="solid">
        <fgColor theme="7" tint="0.599993896298105"/>
        <bgColor indexed="64"/>
      </patternFill>
    </fill>
    <fill>
      <patternFill patternType="solid">
        <fgColor theme="0" tint="-0.149998474074526"/>
        <bgColor indexed="64"/>
      </patternFill>
    </fill>
    <fill>
      <patternFill patternType="solid">
        <fgColor theme="7" tint="0.799920651875362"/>
        <bgColor indexed="64"/>
      </patternFill>
    </fill>
    <fill>
      <patternFill patternType="solid">
        <fgColor theme="8" tint="0.599993896298105"/>
        <bgColor indexed="64"/>
      </patternFill>
    </fill>
    <fill>
      <patternFill patternType="solid">
        <fgColor theme="0" tint="-0.349986266670736"/>
        <bgColor indexed="64"/>
      </patternFill>
    </fill>
    <fill>
      <patternFill patternType="solid">
        <fgColor rgb="FF002060"/>
        <bgColor indexed="64"/>
      </patternFill>
    </fill>
    <fill>
      <patternFill patternType="solid">
        <fgColor rgb="FFF1F1F1"/>
        <bgColor indexed="64"/>
      </patternFill>
    </fill>
    <fill>
      <patternFill patternType="solid">
        <fgColor rgb="FFFFFF00"/>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rgb="004472C4"/>
      </patternFill>
    </fill>
  </fills>
  <borders count="37">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right style="thin">
        <color indexed="8"/>
      </right>
      <top style="thin">
        <color auto="1"/>
      </top>
      <bottom style="thin">
        <color auto="1"/>
      </bottom>
      <diagonal/>
    </border>
    <border>
      <left style="thin">
        <color indexed="8"/>
      </left>
      <right style="thin">
        <color indexed="8"/>
      </right>
      <top style="thin">
        <color auto="1"/>
      </top>
      <bottom style="thin">
        <color auto="1"/>
      </bottom>
      <diagonal/>
    </border>
    <border>
      <left style="thin">
        <color indexed="8"/>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indexed="8"/>
      </right>
      <top style="thin">
        <color auto="1"/>
      </top>
      <bottom/>
      <diagonal/>
    </border>
  </borders>
  <cellStyleXfs count="60">
    <xf numFmtId="0" fontId="46" fillId="0" borderId="0"/>
    <xf numFmtId="43" fontId="46" fillId="0" borderId="0" applyAlignment="1">
      <alignment vertical="center"/>
    </xf>
    <xf numFmtId="44" fontId="46" fillId="0" borderId="0" applyAlignment="1">
      <alignment vertical="center"/>
    </xf>
    <xf numFmtId="9" fontId="46" fillId="0" borderId="0" applyAlignment="1">
      <alignment vertical="center"/>
    </xf>
    <xf numFmtId="41" fontId="46" fillId="0" borderId="0" applyAlignment="1">
      <alignment vertical="center"/>
    </xf>
    <xf numFmtId="42" fontId="46" fillId="0" borderId="0" applyAlignment="1">
      <alignment vertical="center"/>
    </xf>
    <xf numFmtId="0" fontId="50" fillId="0" borderId="0" applyAlignment="1">
      <alignment vertical="center"/>
    </xf>
    <xf numFmtId="0" fontId="51" fillId="0" borderId="0" applyAlignment="1">
      <alignment vertical="center"/>
    </xf>
    <xf numFmtId="0" fontId="46" fillId="19" borderId="28" applyAlignment="1">
      <alignment vertical="center"/>
    </xf>
    <xf numFmtId="0" fontId="52" fillId="0" borderId="0" applyAlignment="1">
      <alignment vertical="center"/>
    </xf>
    <xf numFmtId="0" fontId="53" fillId="0" borderId="0" applyAlignment="1">
      <alignment vertical="center"/>
    </xf>
    <xf numFmtId="0" fontId="54" fillId="0" borderId="0" applyAlignment="1">
      <alignment vertical="center"/>
    </xf>
    <xf numFmtId="0" fontId="55" fillId="0" borderId="29" applyAlignment="1">
      <alignment vertical="center"/>
    </xf>
    <xf numFmtId="0" fontId="56" fillId="0" borderId="29" applyAlignment="1">
      <alignment vertical="center"/>
    </xf>
    <xf numFmtId="0" fontId="57" fillId="0" borderId="30" applyAlignment="1">
      <alignment vertical="center"/>
    </xf>
    <xf numFmtId="0" fontId="57" fillId="0" borderId="0" applyAlignment="1">
      <alignment vertical="center"/>
    </xf>
    <xf numFmtId="0" fontId="58" fillId="20" borderId="31" applyAlignment="1">
      <alignment vertical="center"/>
    </xf>
    <xf numFmtId="0" fontId="59" fillId="21" borderId="32" applyAlignment="1">
      <alignment vertical="center"/>
    </xf>
    <xf numFmtId="0" fontId="60" fillId="21" borderId="31" applyAlignment="1">
      <alignment vertical="center"/>
    </xf>
    <xf numFmtId="0" fontId="61" fillId="22" borderId="33" applyAlignment="1">
      <alignment vertical="center"/>
    </xf>
    <xf numFmtId="0" fontId="62" fillId="0" borderId="34" applyAlignment="1">
      <alignment vertical="center"/>
    </xf>
    <xf numFmtId="0" fontId="63" fillId="0" borderId="35" applyAlignment="1">
      <alignment vertical="center"/>
    </xf>
    <xf numFmtId="0" fontId="64" fillId="23" borderId="0" applyAlignment="1">
      <alignment vertical="center"/>
    </xf>
    <xf numFmtId="0" fontId="65" fillId="24" borderId="0" applyAlignment="1">
      <alignment vertical="center"/>
    </xf>
    <xf numFmtId="0" fontId="66" fillId="25" borderId="0" applyAlignment="1">
      <alignment vertical="center"/>
    </xf>
    <xf numFmtId="0" fontId="67" fillId="51" borderId="0" applyAlignment="1">
      <alignment vertical="center"/>
    </xf>
    <xf numFmtId="0" fontId="68" fillId="27" borderId="0" applyAlignment="1">
      <alignment vertical="center"/>
    </xf>
    <xf numFmtId="0" fontId="68" fillId="50" borderId="0" applyAlignment="1">
      <alignment vertical="center"/>
    </xf>
    <xf numFmtId="0" fontId="67" fillId="29" borderId="0" applyAlignment="1">
      <alignment vertical="center"/>
    </xf>
    <xf numFmtId="0" fontId="67" fillId="30" borderId="0" applyAlignment="1">
      <alignment vertical="center"/>
    </xf>
    <xf numFmtId="0" fontId="68" fillId="31" borderId="0" applyAlignment="1">
      <alignment vertical="center"/>
    </xf>
    <xf numFmtId="0" fontId="68" fillId="32" borderId="0" applyAlignment="1">
      <alignment vertical="center"/>
    </xf>
    <xf numFmtId="0" fontId="67" fillId="33" borderId="0" applyAlignment="1">
      <alignment vertical="center"/>
    </xf>
    <xf numFmtId="0" fontId="67" fillId="34" borderId="0" applyAlignment="1">
      <alignment vertical="center"/>
    </xf>
    <xf numFmtId="0" fontId="68" fillId="35" borderId="0" applyAlignment="1">
      <alignment vertical="center"/>
    </xf>
    <xf numFmtId="0" fontId="68" fillId="36" borderId="0" applyAlignment="1">
      <alignment vertical="center"/>
    </xf>
    <xf numFmtId="0" fontId="67" fillId="37" borderId="0" applyAlignment="1">
      <alignment vertical="center"/>
    </xf>
    <xf numFmtId="0" fontId="67" fillId="38" borderId="0" applyAlignment="1">
      <alignment vertical="center"/>
    </xf>
    <xf numFmtId="0" fontId="68" fillId="39" borderId="0" applyAlignment="1">
      <alignment vertical="center"/>
    </xf>
    <xf numFmtId="0" fontId="68" fillId="40" borderId="0" applyAlignment="1">
      <alignment vertical="center"/>
    </xf>
    <xf numFmtId="0" fontId="67" fillId="41" borderId="0" applyAlignment="1">
      <alignment vertical="center"/>
    </xf>
    <xf numFmtId="0" fontId="67" fillId="42" borderId="0" applyAlignment="1">
      <alignment vertical="center"/>
    </xf>
    <xf numFmtId="0" fontId="68" fillId="43" borderId="0" applyAlignment="1">
      <alignment vertical="center"/>
    </xf>
    <xf numFmtId="0" fontId="68" fillId="44" borderId="0" applyAlignment="1">
      <alignment vertical="center"/>
    </xf>
    <xf numFmtId="0" fontId="67" fillId="45" borderId="0" applyAlignment="1">
      <alignment vertical="center"/>
    </xf>
    <xf numFmtId="0" fontId="67" fillId="46" borderId="0" applyAlignment="1">
      <alignment vertical="center"/>
    </xf>
    <xf numFmtId="0" fontId="68" fillId="47" borderId="0" applyAlignment="1">
      <alignment vertical="center"/>
    </xf>
    <xf numFmtId="0" fontId="68" fillId="48" borderId="0" applyAlignment="1">
      <alignment vertical="center"/>
    </xf>
    <xf numFmtId="0" fontId="67" fillId="49" borderId="0" applyAlignment="1">
      <alignment vertical="center"/>
    </xf>
    <xf numFmtId="0" fontId="31" fillId="50" borderId="0"/>
    <xf numFmtId="0" fontId="69" fillId="0" borderId="0"/>
    <xf numFmtId="0" fontId="24" fillId="0" borderId="0" applyAlignment="1">
      <alignment vertical="center"/>
    </xf>
    <xf numFmtId="0" fontId="11" fillId="0" borderId="0"/>
    <xf numFmtId="164" fontId="46" fillId="0" borderId="0" applyAlignment="1">
      <alignment vertical="center"/>
    </xf>
    <xf numFmtId="0" fontId="27" fillId="0" borderId="0"/>
    <xf numFmtId="164" fontId="27" fillId="0" borderId="0"/>
    <xf numFmtId="0" fontId="27" fillId="0" borderId="0"/>
    <xf numFmtId="0" fontId="31" fillId="0" borderId="0"/>
    <xf numFmtId="0" fontId="46" fillId="0" borderId="0"/>
    <xf numFmtId="0" fontId="70" fillId="51" borderId="0"/>
  </cellStyleXfs>
  <cellXfs count="193">
    <xf numFmtId="0" fontId="0" fillId="0" borderId="0" pivotButton="0" quotePrefix="0" xfId="0"/>
    <xf numFmtId="0" fontId="1" fillId="2" borderId="0" applyAlignment="1" pivotButton="0" quotePrefix="0" xfId="56">
      <alignment vertical="center"/>
    </xf>
    <xf numFmtId="0" fontId="1" fillId="0" borderId="0" pivotButton="0" quotePrefix="0" xfId="56"/>
    <xf numFmtId="0" fontId="2" fillId="2" borderId="0" applyAlignment="1" pivotButton="0" quotePrefix="0" xfId="56">
      <alignment horizontal="center" vertical="center"/>
    </xf>
    <xf numFmtId="0" fontId="2" fillId="2" borderId="1" applyAlignment="1" pivotButton="0" quotePrefix="0" xfId="56">
      <alignment horizontal="center" vertical="center"/>
    </xf>
    <xf numFmtId="0" fontId="3" fillId="3" borderId="2" applyAlignment="1" pivotButton="0" quotePrefix="0" xfId="56">
      <alignment horizontal="center" vertical="center" wrapText="1"/>
    </xf>
    <xf numFmtId="0" fontId="4" fillId="0" borderId="3" applyAlignment="1" pivotButton="0" quotePrefix="0" xfId="56">
      <alignment horizontal="center" vertical="center" wrapText="1"/>
    </xf>
    <xf numFmtId="0" fontId="5" fillId="0" borderId="3" applyAlignment="1" pivotButton="0" quotePrefix="0" xfId="56">
      <alignment horizontal="center" vertical="center" wrapText="1"/>
    </xf>
    <xf numFmtId="14" fontId="4" fillId="0" borderId="3" applyAlignment="1" pivotButton="0" quotePrefix="0" xfId="56">
      <alignment horizontal="center" vertical="center" wrapText="1"/>
    </xf>
    <xf numFmtId="0" fontId="4" fillId="0" borderId="3" applyAlignment="1" pivotButton="0" quotePrefix="0" xfId="56">
      <alignment horizontal="left" vertical="center" wrapText="1" indent="2"/>
    </xf>
    <xf numFmtId="14" fontId="5" fillId="0" borderId="3" applyAlignment="1" pivotButton="0" quotePrefix="0" xfId="56">
      <alignment horizontal="center" vertical="center" wrapText="1"/>
    </xf>
    <xf numFmtId="0" fontId="5" fillId="0" borderId="3" applyAlignment="1" pivotButton="0" quotePrefix="0" xfId="56">
      <alignment horizontal="left" vertical="center" wrapText="1" indent="2"/>
    </xf>
    <xf numFmtId="0" fontId="6" fillId="4" borderId="0" applyAlignment="1" pivotButton="0" quotePrefix="0" xfId="57">
      <alignment horizontal="center" vertical="center"/>
    </xf>
    <xf numFmtId="0" fontId="6" fillId="4" borderId="0" applyAlignment="1" pivotButton="0" quotePrefix="0" xfId="57">
      <alignment vertical="center"/>
    </xf>
    <xf numFmtId="0" fontId="7" fillId="0" borderId="3" applyAlignment="1" pivotButton="0" quotePrefix="0" xfId="57">
      <alignment horizontal="center" vertical="center" wrapText="1"/>
    </xf>
    <xf numFmtId="0" fontId="7" fillId="0" borderId="3" applyAlignment="1" pivotButton="0" quotePrefix="0" xfId="57">
      <alignment horizontal="left" vertical="center" wrapText="1"/>
    </xf>
    <xf numFmtId="0" fontId="7" fillId="0" borderId="3" applyAlignment="1" pivotButton="0" quotePrefix="0" xfId="57">
      <alignment vertical="center" wrapText="1"/>
    </xf>
    <xf numFmtId="0" fontId="7" fillId="0" borderId="3" applyAlignment="1" pivotButton="0" quotePrefix="0" xfId="57">
      <alignment horizontal="center" vertical="center"/>
    </xf>
    <xf numFmtId="0" fontId="8" fillId="0" borderId="3" applyAlignment="1" pivotButton="0" quotePrefix="0" xfId="57">
      <alignment horizontal="center"/>
    </xf>
    <xf numFmtId="0" fontId="8" fillId="0" borderId="3" pivotButton="0" quotePrefix="0" xfId="57"/>
    <xf numFmtId="0" fontId="9" fillId="0" borderId="0" applyAlignment="1" pivotButton="0" quotePrefix="0" xfId="0">
      <alignment horizontal="center"/>
    </xf>
    <xf numFmtId="0" fontId="9" fillId="0" borderId="0" applyAlignment="1" pivotButton="0" quotePrefix="0" xfId="0">
      <alignment horizontal="left" wrapText="1"/>
    </xf>
    <xf numFmtId="0" fontId="10" fillId="0" borderId="0" applyAlignment="1" pivotButton="0" quotePrefix="0" xfId="0">
      <alignment vertical="center" wrapText="1"/>
    </xf>
    <xf numFmtId="0" fontId="11" fillId="0" borderId="0" pivotButton="0" quotePrefix="0" xfId="0"/>
    <xf numFmtId="49" fontId="11" fillId="5" borderId="4" applyAlignment="1" pivotButton="0" quotePrefix="0" xfId="0">
      <alignment horizontal="center" vertical="center"/>
    </xf>
    <xf numFmtId="49" fontId="11" fillId="5" borderId="5" applyAlignment="1" pivotButton="0" quotePrefix="0" xfId="0">
      <alignment horizontal="center" vertical="center"/>
    </xf>
    <xf numFmtId="1" fontId="12" fillId="5" borderId="6" applyAlignment="1" pivotButton="0" quotePrefix="0" xfId="0">
      <alignment horizontal="center" vertical="center"/>
    </xf>
    <xf numFmtId="1" fontId="11" fillId="5" borderId="6" applyAlignment="1" pivotButton="0" quotePrefix="0" xfId="0">
      <alignment horizontal="center" vertical="center"/>
    </xf>
    <xf numFmtId="1" fontId="12" fillId="5" borderId="7" applyAlignment="1" pivotButton="0" quotePrefix="0" xfId="0">
      <alignment horizontal="center" vertical="center"/>
    </xf>
    <xf numFmtId="1" fontId="12" fillId="5" borderId="7" applyAlignment="1" pivotButton="0" quotePrefix="0" xfId="0">
      <alignment horizontal="center" vertical="center"/>
    </xf>
    <xf numFmtId="0" fontId="13" fillId="6" borderId="3" applyAlignment="1" pivotButton="0" quotePrefix="0" xfId="0">
      <alignment horizontal="center" vertical="center" wrapText="1"/>
    </xf>
    <xf numFmtId="0" fontId="13" fillId="6" borderId="8" applyAlignment="1" pivotButton="0" quotePrefix="0" xfId="0">
      <alignment horizontal="center" vertical="center" wrapText="1"/>
    </xf>
    <xf numFmtId="0" fontId="13" fillId="6" borderId="9" applyAlignment="1" pivotButton="0" quotePrefix="0" xfId="0">
      <alignment horizontal="center" vertical="center" wrapText="1"/>
    </xf>
    <xf numFmtId="0" fontId="13" fillId="6" borderId="10" applyAlignment="1" pivotButton="0" quotePrefix="0" xfId="0">
      <alignment horizontal="center" vertical="center" wrapText="1"/>
    </xf>
    <xf numFmtId="0" fontId="11" fillId="0" borderId="0" applyAlignment="1" pivotButton="0" quotePrefix="0" xfId="0">
      <alignment vertical="center"/>
    </xf>
    <xf numFmtId="0" fontId="10" fillId="0" borderId="0" applyAlignment="1" pivotButton="0" quotePrefix="0" xfId="0">
      <alignment horizontal="center" vertical="center" wrapText="1"/>
    </xf>
    <xf numFmtId="0" fontId="10" fillId="0" borderId="0" applyAlignment="1" pivotButton="0" quotePrefix="0" xfId="0">
      <alignment vertical="center" wrapText="1"/>
    </xf>
    <xf numFmtId="0" fontId="13" fillId="0" borderId="3" applyAlignment="1" pivotButton="0" quotePrefix="0" xfId="0">
      <alignment vertical="top" wrapText="1"/>
    </xf>
    <xf numFmtId="0" fontId="14" fillId="7" borderId="3" applyAlignment="1" pivotButton="0" quotePrefix="0" xfId="0">
      <alignment vertical="center"/>
    </xf>
    <xf numFmtId="0" fontId="14" fillId="7" borderId="3" applyAlignment="1" pivotButton="0" quotePrefix="0" xfId="0">
      <alignment horizontal="center" vertical="center"/>
    </xf>
    <xf numFmtId="0" fontId="15" fillId="7" borderId="3" applyAlignment="1" pivotButton="0" quotePrefix="0" xfId="0">
      <alignment vertical="center"/>
    </xf>
    <xf numFmtId="0" fontId="13" fillId="7" borderId="3" applyAlignment="1" pivotButton="0" quotePrefix="0" xfId="0">
      <alignment vertical="center" wrapText="1"/>
    </xf>
    <xf numFmtId="0" fontId="13" fillId="0" borderId="2" applyAlignment="1" pivotButton="0" quotePrefix="0" xfId="0">
      <alignment vertical="top" wrapText="1"/>
    </xf>
    <xf numFmtId="0" fontId="11" fillId="0" borderId="2" applyAlignment="1" pivotButton="0" quotePrefix="0" xfId="0">
      <alignment horizontal="center" vertical="center"/>
    </xf>
    <xf numFmtId="0" fontId="11" fillId="0" borderId="2" applyAlignment="1" pivotButton="0" quotePrefix="0" xfId="0">
      <alignment horizontal="center" vertical="center" wrapText="1"/>
    </xf>
    <xf numFmtId="0" fontId="11" fillId="0" borderId="3" applyAlignment="1" pivotButton="0" quotePrefix="0" xfId="0">
      <alignment vertical="center" wrapText="1"/>
    </xf>
    <xf numFmtId="0" fontId="16" fillId="0" borderId="9" applyAlignment="1" pivotButton="0" quotePrefix="0" xfId="0">
      <alignment vertical="center" wrapText="1"/>
    </xf>
    <xf numFmtId="0" fontId="10" fillId="0" borderId="9" applyAlignment="1" pivotButton="0" quotePrefix="0" xfId="0">
      <alignment horizontal="center" vertical="center" wrapText="1"/>
    </xf>
    <xf numFmtId="0" fontId="17" fillId="0" borderId="3" applyAlignment="1" pivotButton="0" quotePrefix="0" xfId="0">
      <alignment vertical="center" wrapText="1"/>
    </xf>
    <xf numFmtId="0" fontId="10" fillId="0" borderId="3" applyAlignment="1" pivotButton="0" quotePrefix="0" xfId="0">
      <alignment vertical="center" wrapText="1"/>
    </xf>
    <xf numFmtId="0" fontId="13" fillId="0" borderId="11" applyAlignment="1" pivotButton="0" quotePrefix="0" xfId="0">
      <alignment vertical="top" wrapText="1"/>
    </xf>
    <xf numFmtId="0" fontId="11" fillId="0" borderId="11" applyAlignment="1" pivotButton="0" quotePrefix="0" xfId="0">
      <alignment horizontal="center" vertical="center"/>
    </xf>
    <xf numFmtId="0" fontId="11" fillId="0" borderId="11" applyAlignment="1" pivotButton="0" quotePrefix="0" xfId="0">
      <alignment horizontal="center" vertical="center" wrapText="1"/>
    </xf>
    <xf numFmtId="0" fontId="11" fillId="0" borderId="3" applyAlignment="1" pivotButton="0" quotePrefix="0" xfId="0">
      <alignment vertical="center"/>
    </xf>
    <xf numFmtId="0" fontId="11" fillId="0" borderId="9" applyAlignment="1" pivotButton="0" quotePrefix="0" xfId="0">
      <alignment vertical="center" wrapText="1"/>
    </xf>
    <xf numFmtId="0" fontId="11" fillId="0" borderId="9" applyAlignment="1" pivotButton="0" quotePrefix="0" xfId="0">
      <alignment vertical="center"/>
    </xf>
    <xf numFmtId="0" fontId="11" fillId="0" borderId="12" applyAlignment="1" pivotButton="0" quotePrefix="0" xfId="0">
      <alignment horizontal="center" vertical="center"/>
    </xf>
    <xf numFmtId="0" fontId="11" fillId="0" borderId="12" applyAlignment="1" pivotButton="0" quotePrefix="0" xfId="0">
      <alignment horizontal="center" vertical="center" wrapText="1"/>
    </xf>
    <xf numFmtId="0" fontId="11" fillId="0" borderId="2" applyAlignment="1" pivotButton="0" quotePrefix="0" xfId="0">
      <alignment horizontal="left" vertical="center" wrapText="1"/>
    </xf>
    <xf numFmtId="0" fontId="11" fillId="0" borderId="11" applyAlignment="1" pivotButton="0" quotePrefix="0" xfId="0">
      <alignment horizontal="left" vertical="center" wrapText="1"/>
    </xf>
    <xf numFmtId="0" fontId="11" fillId="0" borderId="12" applyAlignment="1" pivotButton="0" quotePrefix="0" xfId="0">
      <alignment horizontal="left" vertical="center" wrapText="1"/>
    </xf>
    <xf numFmtId="0" fontId="11" fillId="8" borderId="3" applyAlignment="1" pivotButton="0" quotePrefix="0" xfId="0">
      <alignment vertical="center" wrapText="1"/>
    </xf>
    <xf numFmtId="0" fontId="16" fillId="0" borderId="9" applyAlignment="1" pivotButton="0" quotePrefix="0" xfId="0">
      <alignment vertical="center"/>
    </xf>
    <xf numFmtId="0" fontId="17" fillId="0" borderId="9" applyAlignment="1" pivotButton="0" quotePrefix="0" xfId="0">
      <alignment horizontal="center" vertical="center" wrapText="1"/>
    </xf>
    <xf numFmtId="0" fontId="10" fillId="0" borderId="0" applyAlignment="1" pivotButton="0" quotePrefix="0" xfId="0">
      <alignment horizontal="center" vertical="center" wrapText="1"/>
    </xf>
    <xf numFmtId="0" fontId="11" fillId="0" borderId="0" applyAlignment="1" pivotButton="0" quotePrefix="0" xfId="0">
      <alignment vertical="center" wrapText="1"/>
    </xf>
    <xf numFmtId="0" fontId="11" fillId="0" borderId="0" applyAlignment="1" pivotButton="0" quotePrefix="0" xfId="0">
      <alignment vertical="center"/>
    </xf>
    <xf numFmtId="0" fontId="13" fillId="6" borderId="0" applyAlignment="1" pivotButton="0" quotePrefix="0" xfId="0">
      <alignment horizontal="center" vertical="center" wrapText="1"/>
    </xf>
    <xf numFmtId="0" fontId="18" fillId="0" borderId="0" pivotButton="0" quotePrefix="0" xfId="0"/>
    <xf numFmtId="0" fontId="19" fillId="6" borderId="0" applyAlignment="1" pivotButton="0" quotePrefix="0" xfId="0">
      <alignment horizontal="center" vertical="center" wrapText="1"/>
    </xf>
    <xf numFmtId="0" fontId="20" fillId="0" borderId="0" applyAlignment="1" pivotButton="0" quotePrefix="0" xfId="51">
      <alignment vertical="center"/>
    </xf>
    <xf numFmtId="0" fontId="21" fillId="0" borderId="0" applyAlignment="1" pivotButton="0" quotePrefix="0" xfId="51">
      <alignment vertical="center"/>
    </xf>
    <xf numFmtId="0" fontId="22" fillId="0" borderId="0" applyAlignment="1" pivotButton="0" quotePrefix="0" xfId="51">
      <alignment vertical="center"/>
    </xf>
    <xf numFmtId="0" fontId="22" fillId="0" borderId="0" applyAlignment="1" pivotButton="0" quotePrefix="0" xfId="51">
      <alignment horizontal="center" vertical="center"/>
    </xf>
    <xf numFmtId="0" fontId="23" fillId="9" borderId="3" applyAlignment="1" pivotButton="0" quotePrefix="0" xfId="51">
      <alignment horizontal="center" vertical="center" wrapText="1"/>
    </xf>
    <xf numFmtId="0" fontId="23" fillId="9" borderId="0" applyAlignment="1" pivotButton="0" quotePrefix="0" xfId="51">
      <alignment horizontal="center" vertical="center" wrapText="1"/>
    </xf>
    <xf numFmtId="0" fontId="22" fillId="0" borderId="2" applyAlignment="1" pivotButton="0" quotePrefix="0" xfId="51">
      <alignment horizontal="left" vertical="top" wrapText="1"/>
    </xf>
    <xf numFmtId="0" fontId="22" fillId="0" borderId="0" applyAlignment="1" pivotButton="0" quotePrefix="0" xfId="51">
      <alignment horizontal="left" vertical="top" wrapText="1"/>
    </xf>
    <xf numFmtId="0" fontId="24" fillId="0" borderId="0" applyAlignment="1" pivotButton="0" quotePrefix="0" xfId="51">
      <alignment vertical="center"/>
    </xf>
    <xf numFmtId="0" fontId="25" fillId="9" borderId="3" applyAlignment="1" pivotButton="0" quotePrefix="0" xfId="51">
      <alignment horizontal="center" vertical="center"/>
    </xf>
    <xf numFmtId="0" fontId="25" fillId="9" borderId="3" applyAlignment="1" pivotButton="0" quotePrefix="0" xfId="51">
      <alignment horizontal="center" vertical="center" wrapText="1"/>
    </xf>
    <xf numFmtId="0" fontId="26" fillId="10" borderId="3" applyAlignment="1" pivotButton="0" quotePrefix="0" xfId="51">
      <alignment horizontal="center" vertical="center" wrapText="1"/>
    </xf>
    <xf numFmtId="0" fontId="26" fillId="10" borderId="3" applyAlignment="1" pivotButton="0" quotePrefix="0" xfId="51">
      <alignment vertical="top" wrapText="1"/>
    </xf>
    <xf numFmtId="0" fontId="26" fillId="10" borderId="3" applyAlignment="1" pivotButton="0" quotePrefix="0" xfId="51">
      <alignment horizontal="center" vertical="top" wrapText="1"/>
    </xf>
    <xf numFmtId="0" fontId="20" fillId="0" borderId="3" applyAlignment="1" pivotButton="0" quotePrefix="0" xfId="51">
      <alignment vertical="center" wrapText="1"/>
    </xf>
    <xf numFmtId="0" fontId="22" fillId="0" borderId="3" applyAlignment="1" pivotButton="0" quotePrefix="0" xfId="51">
      <alignment vertical="center" wrapText="1"/>
    </xf>
    <xf numFmtId="0" fontId="22" fillId="0" borderId="3" applyAlignment="1" pivotButton="0" quotePrefix="0" xfId="51">
      <alignment horizontal="center" vertical="center"/>
    </xf>
    <xf numFmtId="0" fontId="22" fillId="0" borderId="3" applyAlignment="1" pivotButton="0" quotePrefix="0" xfId="51">
      <alignment vertical="center"/>
    </xf>
    <xf numFmtId="0" fontId="27" fillId="0" borderId="3" applyAlignment="1" pivotButton="0" quotePrefix="0" xfId="51">
      <alignment vertical="center" wrapText="1"/>
    </xf>
    <xf numFmtId="0" fontId="28" fillId="0" borderId="3" applyAlignment="1" pivotButton="0" quotePrefix="0" xfId="51">
      <alignment vertical="center" wrapText="1"/>
    </xf>
    <xf numFmtId="0" fontId="21" fillId="0" borderId="3" applyAlignment="1" pivotButton="0" quotePrefix="0" xfId="51">
      <alignment vertical="center"/>
    </xf>
    <xf numFmtId="0" fontId="21" fillId="0" borderId="3" applyAlignment="1" pivotButton="0" quotePrefix="0" xfId="51">
      <alignment horizontal="center" vertical="center"/>
    </xf>
    <xf numFmtId="0" fontId="29" fillId="0" borderId="3" applyAlignment="1" pivotButton="0" quotePrefix="0" xfId="51">
      <alignment vertical="center" wrapText="1"/>
    </xf>
    <xf numFmtId="0" fontId="30" fillId="0" borderId="0" applyAlignment="1" applyProtection="1" pivotButton="0" quotePrefix="0" xfId="52">
      <alignment vertical="center" wrapText="1"/>
      <protection locked="0" hidden="0"/>
    </xf>
    <xf numFmtId="0" fontId="30" fillId="0" borderId="0" applyAlignment="1" applyProtection="1" pivotButton="0" quotePrefix="0" xfId="52">
      <alignment vertical="center"/>
      <protection locked="0" hidden="0"/>
    </xf>
    <xf numFmtId="0" fontId="11" fillId="0" borderId="0" applyAlignment="1" pivotButton="0" quotePrefix="0" xfId="52">
      <alignment vertical="center" wrapText="1"/>
    </xf>
    <xf numFmtId="0" fontId="11" fillId="0" borderId="0" applyAlignment="1" pivotButton="0" quotePrefix="0" xfId="52">
      <alignment vertical="center" wrapText="1"/>
    </xf>
    <xf numFmtId="0" fontId="11" fillId="0" borderId="0" applyAlignment="1" pivotButton="0" quotePrefix="0" xfId="52">
      <alignment horizontal="center" vertical="center"/>
    </xf>
    <xf numFmtId="0" fontId="11" fillId="0" borderId="0" applyAlignment="1" pivotButton="0" quotePrefix="0" xfId="52">
      <alignment vertical="center"/>
    </xf>
    <xf numFmtId="0" fontId="30" fillId="0" borderId="3" applyAlignment="1" applyProtection="1" pivotButton="0" quotePrefix="0" xfId="52">
      <alignment vertical="center" wrapText="1"/>
      <protection locked="0" hidden="0"/>
    </xf>
    <xf numFmtId="0" fontId="30" fillId="11" borderId="3" applyAlignment="1" applyProtection="1" pivotButton="0" quotePrefix="0" xfId="52">
      <alignment horizontal="center" vertical="center" wrapText="1"/>
      <protection locked="0" hidden="0"/>
    </xf>
    <xf numFmtId="0" fontId="30" fillId="11" borderId="3" applyAlignment="1" applyProtection="1" pivotButton="0" quotePrefix="0" xfId="52">
      <alignment vertical="center" wrapText="1"/>
      <protection locked="0" hidden="0"/>
    </xf>
    <xf numFmtId="0" fontId="30" fillId="12" borderId="3" applyAlignment="1" applyProtection="1" pivotButton="0" quotePrefix="0" xfId="52">
      <alignment horizontal="center" vertical="center"/>
      <protection locked="0" hidden="0"/>
    </xf>
    <xf numFmtId="0" fontId="30" fillId="13" borderId="3" applyAlignment="1" applyProtection="1" pivotButton="0" quotePrefix="0" xfId="52">
      <alignment horizontal="center" vertical="center"/>
      <protection locked="0" hidden="0"/>
    </xf>
    <xf numFmtId="0" fontId="30" fillId="8" borderId="3" applyAlignment="1" applyProtection="1" pivotButton="0" quotePrefix="0" xfId="52">
      <alignment horizontal="center" vertical="center"/>
      <protection locked="0" hidden="0"/>
    </xf>
    <xf numFmtId="0" fontId="11" fillId="14" borderId="3" applyAlignment="1" pivotButton="0" quotePrefix="0" xfId="52">
      <alignment horizontal="center" vertical="center"/>
    </xf>
    <xf numFmtId="0" fontId="11" fillId="0" borderId="3" applyAlignment="1" pivotButton="0" quotePrefix="0" xfId="52">
      <alignment horizontal="center" vertical="center"/>
    </xf>
    <xf numFmtId="0" fontId="31" fillId="0" borderId="0" pivotButton="0" quotePrefix="0" xfId="57"/>
    <xf numFmtId="0" fontId="32" fillId="15" borderId="13" applyAlignment="1" pivotButton="0" quotePrefix="0" xfId="57">
      <alignment horizontal="left" vertical="center"/>
    </xf>
    <xf numFmtId="0" fontId="32" fillId="15" borderId="14" applyAlignment="1" pivotButton="0" quotePrefix="0" xfId="57">
      <alignment horizontal="left" vertical="center"/>
    </xf>
    <xf numFmtId="0" fontId="33" fillId="2" borderId="15" applyAlignment="1" pivotButton="0" quotePrefix="0" xfId="57">
      <alignment horizontal="left" vertical="center" wrapText="1"/>
    </xf>
    <xf numFmtId="0" fontId="34" fillId="2" borderId="16" applyAlignment="1" pivotButton="0" quotePrefix="0" xfId="57">
      <alignment horizontal="left" vertical="center" wrapText="1"/>
    </xf>
    <xf numFmtId="0" fontId="35" fillId="2" borderId="17" applyAlignment="1" pivotButton="0" quotePrefix="0" xfId="57">
      <alignment horizontal="left" vertical="center" wrapText="1"/>
    </xf>
    <xf numFmtId="0" fontId="35" fillId="2" borderId="0" applyAlignment="1" pivotButton="0" quotePrefix="0" xfId="57">
      <alignment horizontal="left" vertical="center" wrapText="1"/>
    </xf>
    <xf numFmtId="0" fontId="36" fillId="16" borderId="18" applyAlignment="1" pivotButton="0" quotePrefix="0" xfId="0">
      <alignment wrapText="1"/>
    </xf>
    <xf numFmtId="0" fontId="37" fillId="0" borderId="19" applyAlignment="1" pivotButton="0" quotePrefix="0" xfId="0">
      <alignment horizontal="center" vertical="center" wrapText="1"/>
    </xf>
    <xf numFmtId="0" fontId="37" fillId="0" borderId="20" applyAlignment="1" pivotButton="0" quotePrefix="0" xfId="0">
      <alignment vertical="top" wrapText="1"/>
    </xf>
    <xf numFmtId="0" fontId="37" fillId="17" borderId="20" applyAlignment="1" pivotButton="0" quotePrefix="0" xfId="0">
      <alignment vertical="top" wrapText="1"/>
    </xf>
    <xf numFmtId="164" fontId="38" fillId="17" borderId="3" applyAlignment="1" pivotButton="0" quotePrefix="0" xfId="53">
      <alignment vertical="center" wrapText="1"/>
    </xf>
    <xf numFmtId="164" fontId="39" fillId="17" borderId="3" applyAlignment="1" pivotButton="0" quotePrefix="0" xfId="53">
      <alignment vertical="center" wrapText="1"/>
    </xf>
    <xf numFmtId="164" fontId="38" fillId="17" borderId="2" applyAlignment="1" pivotButton="0" quotePrefix="0" xfId="53">
      <alignment vertical="center" wrapText="1"/>
    </xf>
    <xf numFmtId="164" fontId="39" fillId="0" borderId="18" applyAlignment="1" pivotButton="0" quotePrefix="0" xfId="53">
      <alignment vertical="center" wrapText="1"/>
    </xf>
    <xf numFmtId="164" fontId="38" fillId="17" borderId="18" applyAlignment="1" pivotButton="0" quotePrefix="0" xfId="53">
      <alignment vertical="center" wrapText="1"/>
    </xf>
    <xf numFmtId="164" fontId="38" fillId="0" borderId="18" applyAlignment="1" pivotButton="0" quotePrefix="0" xfId="53">
      <alignment vertical="center" wrapText="1"/>
    </xf>
    <xf numFmtId="164" fontId="40" fillId="17" borderId="18" applyAlignment="1" pivotButton="0" quotePrefix="0" xfId="53">
      <alignment vertical="center"/>
    </xf>
    <xf numFmtId="164" fontId="40" fillId="0" borderId="18" applyAlignment="1" pivotButton="0" quotePrefix="0" xfId="53">
      <alignment vertical="center"/>
    </xf>
    <xf numFmtId="0" fontId="17" fillId="0" borderId="0" applyAlignment="1" pivotButton="0" quotePrefix="0" xfId="0">
      <alignment vertical="center"/>
    </xf>
    <xf numFmtId="0" fontId="41" fillId="0" borderId="0" pivotButton="0" quotePrefix="0" xfId="0"/>
    <xf numFmtId="0" fontId="42" fillId="0" borderId="0" applyAlignment="1" pivotButton="0" quotePrefix="0" xfId="0">
      <alignment vertical="center"/>
    </xf>
    <xf numFmtId="0" fontId="41" fillId="0" borderId="21" applyAlignment="1" pivotButton="0" quotePrefix="0" xfId="0">
      <alignment horizontal="left" vertical="top" wrapText="1"/>
    </xf>
    <xf numFmtId="0" fontId="41" fillId="0" borderId="22" applyAlignment="1" pivotButton="0" quotePrefix="0" xfId="0">
      <alignment horizontal="left" vertical="top" wrapText="1"/>
    </xf>
    <xf numFmtId="0" fontId="41" fillId="0" borderId="23" applyAlignment="1" pivotButton="0" quotePrefix="0" xfId="0">
      <alignment horizontal="left" vertical="top" wrapText="1"/>
    </xf>
    <xf numFmtId="0" fontId="41" fillId="0" borderId="24" applyAlignment="1" pivotButton="0" quotePrefix="0" xfId="0">
      <alignment horizontal="left" vertical="top" wrapText="1"/>
    </xf>
    <xf numFmtId="0" fontId="41" fillId="0" borderId="0" applyAlignment="1" pivotButton="0" quotePrefix="0" xfId="0">
      <alignment horizontal="left" vertical="top" wrapText="1"/>
    </xf>
    <xf numFmtId="0" fontId="41" fillId="0" borderId="25" applyAlignment="1" pivotButton="0" quotePrefix="0" xfId="0">
      <alignment horizontal="left" vertical="top" wrapText="1"/>
    </xf>
    <xf numFmtId="0" fontId="41" fillId="0" borderId="26" applyAlignment="1" pivotButton="0" quotePrefix="0" xfId="0">
      <alignment horizontal="left" vertical="top" wrapText="1"/>
    </xf>
    <xf numFmtId="0" fontId="41" fillId="0" borderId="1" applyAlignment="1" pivotButton="0" quotePrefix="0" xfId="0">
      <alignment horizontal="left" vertical="top" wrapText="1"/>
    </xf>
    <xf numFmtId="0" fontId="41" fillId="0" borderId="27" applyAlignment="1" pivotButton="0" quotePrefix="0" xfId="0">
      <alignment horizontal="left" vertical="top" wrapText="1"/>
    </xf>
    <xf numFmtId="0" fontId="43" fillId="18" borderId="3" applyAlignment="1" pivotButton="0" quotePrefix="0" xfId="0">
      <alignment horizontal="center" vertical="center" wrapText="1"/>
    </xf>
    <xf numFmtId="0" fontId="44" fillId="0" borderId="3" applyAlignment="1" pivotButton="0" quotePrefix="0" xfId="0">
      <alignment horizontal="center" vertical="center" wrapText="1"/>
    </xf>
    <xf numFmtId="0" fontId="44" fillId="0" borderId="3" applyAlignment="1" pivotButton="0" quotePrefix="0" xfId="0">
      <alignment horizontal="justify" vertical="center" wrapText="1"/>
    </xf>
    <xf numFmtId="0" fontId="45" fillId="0" borderId="3" applyAlignment="1" pivotButton="0" quotePrefix="0" xfId="56">
      <alignment horizontal="center" vertical="center" wrapText="1"/>
    </xf>
    <xf numFmtId="0" fontId="46" fillId="0" borderId="0" applyAlignment="1" pivotButton="0" quotePrefix="0" xfId="55">
      <alignment vertical="center"/>
    </xf>
    <xf numFmtId="0" fontId="46" fillId="0" borderId="3" applyAlignment="1" pivotButton="0" quotePrefix="0" xfId="55">
      <alignment horizontal="center" vertical="center"/>
    </xf>
    <xf numFmtId="0" fontId="47" fillId="0" borderId="3" applyAlignment="1" pivotButton="0" quotePrefix="0" xfId="55">
      <alignment horizontal="center" vertical="center" wrapText="1"/>
    </xf>
    <xf numFmtId="0" fontId="46" fillId="0" borderId="9" applyAlignment="1" pivotButton="0" quotePrefix="0" xfId="55">
      <alignment horizontal="left" vertical="center" wrapText="1"/>
    </xf>
    <xf numFmtId="0" fontId="46" fillId="0" borderId="10" applyAlignment="1" pivotButton="0" quotePrefix="0" xfId="55">
      <alignment horizontal="left" vertical="center" wrapText="1"/>
    </xf>
    <xf numFmtId="0" fontId="46" fillId="0" borderId="3" applyAlignment="1" pivotButton="0" quotePrefix="0" xfId="55">
      <alignment horizontal="center" vertical="center" wrapText="1"/>
    </xf>
    <xf numFmtId="0" fontId="31" fillId="0" borderId="3" applyAlignment="1" pivotButton="0" quotePrefix="0" xfId="55">
      <alignment horizontal="center" vertical="center" wrapText="1"/>
    </xf>
    <xf numFmtId="0" fontId="48" fillId="0" borderId="3" applyAlignment="1" pivotButton="0" quotePrefix="0" xfId="55">
      <alignment horizontal="center" vertical="center" wrapText="1"/>
    </xf>
    <xf numFmtId="14" fontId="48" fillId="0" borderId="3" applyAlignment="1" pivotButton="0" quotePrefix="0" xfId="55">
      <alignment horizontal="center" vertical="center" wrapText="1"/>
    </xf>
    <xf numFmtId="49" fontId="46" fillId="0" borderId="3" applyAlignment="1" pivotButton="0" quotePrefix="0" xfId="55">
      <alignment horizontal="center" vertical="center" wrapText="1"/>
    </xf>
    <xf numFmtId="0" fontId="49" fillId="0" borderId="22" applyAlignment="1" pivotButton="0" quotePrefix="0" xfId="55">
      <alignment horizontal="center" vertical="center" wrapText="1"/>
    </xf>
    <xf numFmtId="0" fontId="49" fillId="0" borderId="0" applyAlignment="1" pivotButton="0" quotePrefix="0" xfId="55">
      <alignment horizontal="center" vertical="center" wrapText="1"/>
    </xf>
    <xf numFmtId="0" fontId="49" fillId="0" borderId="1" applyAlignment="1" pivotButton="0" quotePrefix="0" xfId="55">
      <alignment horizontal="center" vertical="center" wrapText="1"/>
    </xf>
    <xf numFmtId="164" fontId="4" fillId="0" borderId="3" applyAlignment="1" pivotButton="0" quotePrefix="0" xfId="55">
      <alignment horizontal="center" vertical="center" wrapText="1"/>
    </xf>
    <xf numFmtId="14" fontId="4" fillId="0" borderId="3" applyAlignment="1" pivotButton="0" quotePrefix="0" xfId="55">
      <alignment horizontal="center" vertical="center" wrapText="1"/>
    </xf>
    <xf numFmtId="0" fontId="46" fillId="0" borderId="22" applyAlignment="1" pivotButton="0" quotePrefix="0" xfId="55">
      <alignment horizontal="left" vertical="center" wrapText="1"/>
    </xf>
    <xf numFmtId="0" fontId="0" fillId="0" borderId="10" pivotButton="0" quotePrefix="0" xfId="0"/>
    <xf numFmtId="0" fontId="0" fillId="0" borderId="8" pivotButton="0" quotePrefix="0" xfId="0"/>
    <xf numFmtId="0" fontId="46" fillId="0" borderId="3" applyAlignment="1" pivotButton="0" quotePrefix="0" xfId="55">
      <alignment horizontal="left" vertical="center" wrapText="1"/>
    </xf>
    <xf numFmtId="0" fontId="49" fillId="0" borderId="8" applyAlignment="1" pivotButton="0" quotePrefix="0" xfId="55">
      <alignment horizontal="center" vertical="center" wrapText="1"/>
    </xf>
    <xf numFmtId="0" fontId="0" fillId="0" borderId="22" pivotButton="0" quotePrefix="0" xfId="0"/>
    <xf numFmtId="0" fontId="0" fillId="0" borderId="1" pivotButton="0" quotePrefix="0" xfId="0"/>
    <xf numFmtId="164" fontId="4" fillId="0" borderId="3" applyAlignment="1" pivotButton="0" quotePrefix="0" xfId="55">
      <alignment horizontal="center" vertical="center" wrapText="1"/>
    </xf>
    <xf numFmtId="0" fontId="41" fillId="0" borderId="3" applyAlignment="1" pivotButton="0" quotePrefix="0" xfId="0">
      <alignment horizontal="left" vertical="top" wrapText="1"/>
    </xf>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14" pivotButton="0" quotePrefix="0" xfId="0"/>
    <xf numFmtId="0" fontId="0" fillId="0" borderId="16" pivotButton="0" quotePrefix="0" xfId="0"/>
    <xf numFmtId="164" fontId="38" fillId="17" borderId="3" applyAlignment="1" pivotButton="0" quotePrefix="0" xfId="53">
      <alignment vertical="center" wrapText="1"/>
    </xf>
    <xf numFmtId="0" fontId="0" fillId="0" borderId="19" pivotButton="0" quotePrefix="0" xfId="0"/>
    <xf numFmtId="164" fontId="39" fillId="17" borderId="3" applyAlignment="1" pivotButton="0" quotePrefix="0" xfId="53">
      <alignment vertical="center" wrapText="1"/>
    </xf>
    <xf numFmtId="164" fontId="38" fillId="17" borderId="2" applyAlignment="1" pivotButton="0" quotePrefix="0" xfId="53">
      <alignment vertical="center" wrapText="1"/>
    </xf>
    <xf numFmtId="164" fontId="39" fillId="0" borderId="18" applyAlignment="1" pivotButton="0" quotePrefix="0" xfId="53">
      <alignment vertical="center" wrapText="1"/>
    </xf>
    <xf numFmtId="164" fontId="38" fillId="17" borderId="18" applyAlignment="1" pivotButton="0" quotePrefix="0" xfId="53">
      <alignment vertical="center" wrapText="1"/>
    </xf>
    <xf numFmtId="164" fontId="38" fillId="0" borderId="18" applyAlignment="1" pivotButton="0" quotePrefix="0" xfId="53">
      <alignment vertical="center" wrapText="1"/>
    </xf>
    <xf numFmtId="164" fontId="40" fillId="17" borderId="18" applyAlignment="1" pivotButton="0" quotePrefix="0" xfId="53">
      <alignment vertical="center"/>
    </xf>
    <xf numFmtId="164" fontId="40" fillId="0" borderId="18" applyAlignment="1" pivotButton="0" quotePrefix="0" xfId="53">
      <alignment vertical="center"/>
    </xf>
    <xf numFmtId="0" fontId="0" fillId="0" borderId="5" pivotButton="0" quotePrefix="0" xfId="0"/>
    <xf numFmtId="0" fontId="11" fillId="0" borderId="3" applyAlignment="1" pivotButton="0" quotePrefix="0" xfId="0">
      <alignment horizontal="center" vertical="center"/>
    </xf>
    <xf numFmtId="0" fontId="11" fillId="0" borderId="3" applyAlignment="1" pivotButton="0" quotePrefix="0" xfId="0">
      <alignment horizontal="center" vertical="center" wrapText="1"/>
    </xf>
    <xf numFmtId="0" fontId="0" fillId="0" borderId="11" pivotButton="0" quotePrefix="0" xfId="0"/>
    <xf numFmtId="0" fontId="0" fillId="0" borderId="12" pivotButton="0" quotePrefix="0" xfId="0"/>
    <xf numFmtId="0" fontId="11" fillId="0" borderId="3" applyAlignment="1" pivotButton="0" quotePrefix="0" xfId="0">
      <alignment horizontal="left" vertical="center" wrapText="1"/>
    </xf>
    <xf numFmtId="0" fontId="81" fillId="52" borderId="0" applyAlignment="1" pivotButton="0" quotePrefix="0" xfId="57">
      <alignment horizontal="center" vertical="center" wrapText="1"/>
    </xf>
    <xf numFmtId="0" fontId="81" fillId="52" borderId="0" applyAlignment="1" pivotButton="0" quotePrefix="0" xfId="0">
      <alignment horizontal="center" vertical="center" wrapText="1"/>
    </xf>
    <xf numFmtId="0" fontId="7" fillId="0" borderId="3" applyAlignment="1" pivotButton="0" quotePrefix="0" xfId="57">
      <alignment vertical="top" wrapText="1"/>
    </xf>
    <xf numFmtId="0" fontId="0" fillId="0" borderId="0" applyAlignment="1" pivotButton="0" quotePrefix="0" xfId="0">
      <alignment vertical="top" wrapText="1"/>
    </xf>
    <xf numFmtId="0" fontId="8" fillId="0" borderId="3" applyAlignment="1" pivotButton="0" quotePrefix="0" xfId="57">
      <alignment vertical="top" wrapText="1"/>
    </xf>
  </cellXfs>
  <cellStyles count="6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40% - 着色 1 2" xfId="49"/>
    <cellStyle name="Normal 2" xfId="50"/>
    <cellStyle name="Normal 2 2" xfId="51"/>
    <cellStyle name="Normal 3 2" xfId="52"/>
    <cellStyle name="常规 11" xfId="53"/>
    <cellStyle name="常规 2" xfId="54"/>
    <cellStyle name="常规 2 2" xfId="55"/>
    <cellStyle name="常规 2 3" xfId="56"/>
    <cellStyle name="常规 3" xfId="57"/>
    <cellStyle name="常规 3 2" xfId="58"/>
    <cellStyle name="着色 1 2" xfId="59"/>
  </cellStyles>
  <dxfs count="2">
    <dxf>
      <fill>
        <patternFill patternType="solid">
          <fgColor indexed="15"/>
          <bgColor indexed="23"/>
        </patternFill>
      </fill>
    </dxf>
    <dxf>
      <fill>
        <patternFill patternType="solid">
          <fgColor indexed="15"/>
          <bgColor indexed="16"/>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externalLink" Target="/xl/externalLinks/externalLink2.xml" Id="rId12" /><Relationship Type="http://schemas.openxmlformats.org/officeDocument/2006/relationships/externalLink" Target="/xl/externalLinks/externalLink3.xml" Id="rId13" /><Relationship Type="http://schemas.openxmlformats.org/officeDocument/2006/relationships/externalLink" Target="/xl/externalLinks/externalLink4.xml" Id="rId14" /><Relationship Type="http://schemas.openxmlformats.org/officeDocument/2006/relationships/externalLink" Target="/xl/externalLinks/externalLink5.xml" Id="rId15" /><Relationship Type="http://schemas.openxmlformats.org/officeDocument/2006/relationships/externalLink" Target="/xl/externalLinks/externalLink6.xml" Id="rId16" /><Relationship Type="http://schemas.openxmlformats.org/officeDocument/2006/relationships/externalLink" Target="/xl/externalLinks/externalLink7.xml" Id="rId17" /><Relationship Type="http://schemas.openxmlformats.org/officeDocument/2006/relationships/externalLink" Target="/xl/externalLinks/externalLink8.xml" Id="rId18" /><Relationship Type="http://schemas.openxmlformats.org/officeDocument/2006/relationships/externalLink" Target="/xl/externalLinks/externalLink9.xml" Id="rId19" /><Relationship Type="http://schemas.openxmlformats.org/officeDocument/2006/relationships/externalLink" Target="/xl/externalLinks/externalLink10.xml" Id="rId20" /><Relationship Type="http://schemas.openxmlformats.org/officeDocument/2006/relationships/externalLink" Target="/xl/externalLinks/externalLink11.xml" Id="rId21" /><Relationship Type="http://schemas.openxmlformats.org/officeDocument/2006/relationships/externalLink" Target="/xl/externalLinks/externalLink12.xml" Id="rId22" /><Relationship Type="http://schemas.openxmlformats.org/officeDocument/2006/relationships/externalLink" Target="/xl/externalLinks/externalLink13.xml" Id="rId23" /><Relationship Type="http://schemas.openxmlformats.org/officeDocument/2006/relationships/externalLink" Target="/xl/externalLinks/externalLink14.xml" Id="rId24" /><Relationship Type="http://schemas.openxmlformats.org/officeDocument/2006/relationships/externalLink" Target="/xl/externalLinks/externalLink15.xml" Id="rId25" /><Relationship Type="http://schemas.openxmlformats.org/officeDocument/2006/relationships/externalLink" Target="/xl/externalLinks/externalLink16.xml" Id="rId26" /><Relationship Type="http://schemas.openxmlformats.org/officeDocument/2006/relationships/externalLink" Target="/xl/externalLinks/externalLink17.xml" Id="rId27" /><Relationship Type="http://schemas.openxmlformats.org/officeDocument/2006/relationships/externalLink" Target="/xl/externalLinks/externalLink18.xml" Id="rId28" /><Relationship Type="http://schemas.openxmlformats.org/officeDocument/2006/relationships/externalLink" Target="/xl/externalLinks/externalLink19.xml" Id="rId29" /><Relationship Type="http://schemas.openxmlformats.org/officeDocument/2006/relationships/externalLink" Target="/xl/externalLinks/externalLink20.xml" Id="rId30" /><Relationship Type="http://schemas.openxmlformats.org/officeDocument/2006/relationships/externalLink" Target="/xl/externalLinks/externalLink21.xml" Id="rId31" /><Relationship Type="http://schemas.openxmlformats.org/officeDocument/2006/relationships/externalLink" Target="/xl/externalLinks/externalLink22.xml" Id="rId32" /><Relationship Type="http://schemas.openxmlformats.org/officeDocument/2006/relationships/externalLink" Target="/xl/externalLinks/externalLink23.xml" Id="rId33" /><Relationship Type="http://schemas.openxmlformats.org/officeDocument/2006/relationships/externalLink" Target="/xl/externalLinks/externalLink24.xml" Id="rId34" /><Relationship Type="http://schemas.openxmlformats.org/officeDocument/2006/relationships/externalLink" Target="/xl/externalLinks/externalLink2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shun</author>
  </authors>
  <commentList>
    <comment ref="C2" authorId="0" shapeId="0">
      <text>
        <t>shun:
硬件架构模块</t>
      </text>
    </comment>
  </commentList>
</comments>
</file>

<file path=xl/comments/comment2.xml><?xml version="1.0" encoding="utf-8"?>
<comments xmlns="http://schemas.openxmlformats.org/spreadsheetml/2006/main">
  <authors>
    <author>GuoS</author>
    <author>Tristan Zhao</author>
  </authors>
  <commentList>
    <comment ref="G4" authorId="0" shapeId="0">
      <text>
        <t>GuoS:
失效后，违背的安全目标</t>
      </text>
    </comment>
    <comment ref="H4" authorId="0" shapeId="0">
      <text>
        <t>GuoS:
如果违背的安全目标对应的安全机制一样，就写一个ID，否则分开写</t>
      </text>
    </comment>
    <comment ref="J4" authorId="1" shapeId="0">
      <text>
        <t>在设计中是否体现</t>
      </text>
    </comment>
    <comment ref="K4" authorId="1" shapeId="0">
      <text>
        <t>测试结果或者DC 指标</t>
      </text>
    </comment>
    <comment ref="G57" authorId="0" shapeId="0">
      <text>
        <t>GuoS:
失效后，违背的安全目标</t>
      </text>
    </comment>
    <comment ref="H57" authorId="0" shapeId="0">
      <text>
        <t>GuoS:
如果违背的安全目标对应的安全机制一样，就写一个ID，否则分开写</t>
      </text>
    </comment>
    <comment ref="J57" authorId="1" shapeId="0">
      <text>
        <t>在设计中是否体现</t>
      </text>
    </comment>
    <comment ref="K57" authorId="1" shapeId="0">
      <text>
        <t>测试结果或者DC 指标</t>
      </text>
    </comment>
    <comment ref="G108" authorId="0" shapeId="0">
      <text>
        <t>GuoS:
失效后，违背的安全目标</t>
      </text>
    </comment>
    <comment ref="H108" authorId="0" shapeId="0">
      <text>
        <t>GuoS:
如果违背的安全目标对应的安全机制一样，就写一个ID，否则分开写</t>
      </text>
    </comment>
    <comment ref="J108" authorId="1" shapeId="0">
      <text>
        <t>在设计中是否体现</t>
      </text>
    </comment>
    <comment ref="K108" authorId="1" shapeId="0">
      <text>
        <t>测试结果或者DC 指标</t>
      </text>
    </comment>
    <comment ref="G159" authorId="0" shapeId="0">
      <text>
        <t>GuoS:
失效后，违背的安全目标</t>
      </text>
    </comment>
    <comment ref="H159" authorId="0" shapeId="0">
      <text>
        <t>GuoS:
如果违背的安全目标对应的安全机制一样，就写一个ID，否则分开写</t>
      </text>
    </comment>
    <comment ref="J159" authorId="1" shapeId="0">
      <text>
        <t>在设计中是否体现</t>
      </text>
    </comment>
    <comment ref="K159" authorId="1" shapeId="0">
      <text>
        <t>测试结果或者DC 指标</t>
      </text>
    </comment>
    <comment ref="G210" authorId="0" shapeId="0">
      <text>
        <t>GuoS:
失效后，违背的安全目标</t>
      </text>
    </comment>
    <comment ref="H210" authorId="0" shapeId="0">
      <text>
        <t>GuoS:
如果违背的安全目标对应的安全机制一样，就写一个ID，否则分开写</t>
      </text>
    </comment>
    <comment ref="J210" authorId="1" shapeId="0">
      <text>
        <t>在设计中是否体现</t>
      </text>
    </comment>
    <comment ref="K210" authorId="1" shapeId="0">
      <text>
        <t>测试结果或者DC 指标</t>
      </text>
    </comment>
    <comment ref="G261" authorId="0" shapeId="0">
      <text>
        <t>GuoS:
失效后，违背的安全目标</t>
      </text>
    </comment>
    <comment ref="H261" authorId="0" shapeId="0">
      <text>
        <t>GuoS:
如果违背的安全目标对应的安全机制一样，就写一个ID，否则分开写</t>
      </text>
    </comment>
    <comment ref="J261" authorId="1" shapeId="0">
      <text>
        <t>在设计中是否体现</t>
      </text>
    </comment>
    <comment ref="K261" authorId="1" shapeId="0">
      <text>
        <t>测试结果或者DC 指标</t>
      </text>
    </comment>
    <comment ref="G312" authorId="0" shapeId="0">
      <text>
        <t>GuoS:
失效后，违背的安全目标</t>
      </text>
    </comment>
    <comment ref="H312" authorId="0" shapeId="0">
      <text>
        <t>GuoS:
如果违背的安全目标对应的安全机制一样，就写一个ID，否则分开写</t>
      </text>
    </comment>
    <comment ref="J312" authorId="1" shapeId="0">
      <text>
        <t>在设计中是否体现</t>
      </text>
    </comment>
    <comment ref="K312" authorId="1" shapeId="0">
      <text>
        <t>测试结果或者DC 指标</t>
      </text>
    </comment>
    <comment ref="G363" authorId="0" shapeId="0">
      <text>
        <t>GuoS:
失效后，违背的安全目标</t>
      </text>
    </comment>
    <comment ref="H363" authorId="0" shapeId="0">
      <text>
        <t>GuoS:
如果违背的安全目标对应的安全机制一样，就写一个ID，否则分开写</t>
      </text>
    </comment>
    <comment ref="J363" authorId="1" shapeId="0">
      <text>
        <t>在设计中是否体现</t>
      </text>
    </comment>
    <comment ref="K363" authorId="1" shapeId="0">
      <text>
        <t>测试结果或者DC 指标</t>
      </text>
    </comment>
    <comment ref="G414" authorId="0" shapeId="0">
      <text>
        <t>GuoS:
失效后，违背的安全目标</t>
      </text>
    </comment>
    <comment ref="H414" authorId="0" shapeId="0">
      <text>
        <t>GuoS:
如果违背的安全目标对应的安全机制一样，就写一个ID，否则分开写</t>
      </text>
    </comment>
    <comment ref="J414" authorId="1" shapeId="0">
      <text>
        <t>在设计中是否体现</t>
      </text>
    </comment>
    <comment ref="K414" authorId="1" shapeId="0">
      <text>
        <t>测试结果或者DC 指标</t>
      </text>
    </comment>
    <comment ref="G465" authorId="0" shapeId="0">
      <text>
        <t>GuoS:
失效后，违背的安全目标</t>
      </text>
    </comment>
    <comment ref="H465" authorId="0" shapeId="0">
      <text>
        <t>GuoS:
如果违背的安全目标对应的安全机制一样，就写一个ID，否则分开写</t>
      </text>
    </comment>
    <comment ref="J465" authorId="1" shapeId="0">
      <text>
        <t>在设计中是否体现</t>
      </text>
    </comment>
    <comment ref="K465" authorId="1" shapeId="0">
      <text>
        <t>测试结果或者DC 指标</t>
      </text>
    </comment>
    <comment ref="G516" authorId="0" shapeId="0">
      <text>
        <t>GuoS:
失效后，违背的安全目标</t>
      </text>
    </comment>
    <comment ref="H516" authorId="0" shapeId="0">
      <text>
        <t>GuoS:
如果违背的安全目标对应的安全机制一样，就写一个ID，否则分开写</t>
      </text>
    </comment>
    <comment ref="J516" authorId="1" shapeId="0">
      <text>
        <t>在设计中是否体现</t>
      </text>
    </comment>
    <comment ref="K516" authorId="1" shapeId="0">
      <text>
        <t>测试结果或者DC 指标</t>
      </text>
    </comment>
    <comment ref="G567" authorId="0" shapeId="0">
      <text>
        <t>GuoS:
失效后，违背的安全目标</t>
      </text>
    </comment>
    <comment ref="H567" authorId="0" shapeId="0">
      <text>
        <t>GuoS:
如果违背的安全目标对应的安全机制一样，就写一个ID，否则分开写</t>
      </text>
    </comment>
    <comment ref="J567" authorId="1" shapeId="0">
      <text>
        <t>在设计中是否体现</t>
      </text>
    </comment>
    <comment ref="K567" authorId="1" shapeId="0">
      <text>
        <t>测试结果或者DC 指标</t>
      </text>
    </comment>
    <comment ref="G618" authorId="0" shapeId="0">
      <text>
        <t>GuoS:
失效后，违背的安全目标</t>
      </text>
    </comment>
    <comment ref="H618" authorId="0" shapeId="0">
      <text>
        <t>GuoS:
如果违背的安全目标对应的安全机制一样，就写一个ID，否则分开写</t>
      </text>
    </comment>
    <comment ref="J618" authorId="1" shapeId="0">
      <text>
        <t>在设计中是否体现</t>
      </text>
    </comment>
    <comment ref="K618" authorId="1" shapeId="0">
      <text>
        <t>测试结果或者DC 指标</t>
      </text>
    </comment>
    <comment ref="G669" authorId="0" shapeId="0">
      <text>
        <t>GuoS:
失效后，违背的安全目标</t>
      </text>
    </comment>
    <comment ref="H669" authorId="0" shapeId="0">
      <text>
        <t>GuoS:
如果违背的安全目标对应的安全机制一样，就写一个ID，否则分开写</t>
      </text>
    </comment>
    <comment ref="J669" authorId="1" shapeId="0">
      <text>
        <t>在设计中是否体现</t>
      </text>
    </comment>
    <comment ref="K669" authorId="1" shapeId="0">
      <text>
        <t>测试结果或者DC 指标</t>
      </text>
    </comment>
    <comment ref="G720" authorId="0" shapeId="0">
      <text>
        <t>GuoS:
失效后，违背的安全目标</t>
      </text>
    </comment>
    <comment ref="H720" authorId="0" shapeId="0">
      <text>
        <t>GuoS:
如果违背的安全目标对应的安全机制一样，就写一个ID，否则分开写</t>
      </text>
    </comment>
    <comment ref="J720" authorId="1" shapeId="0">
      <text>
        <t>在设计中是否体现</t>
      </text>
    </comment>
    <comment ref="K720" authorId="1" shapeId="0">
      <text>
        <t>测试结果或者DC 指标</t>
      </text>
    </comment>
    <comment ref="G771" authorId="0" shapeId="0">
      <text>
        <t>GuoS:
失效后，违背的安全目标</t>
      </text>
    </comment>
    <comment ref="H771" authorId="0" shapeId="0">
      <text>
        <t>GuoS:
如果违背的安全目标对应的安全机制一样，就写一个ID，否则分开写</t>
      </text>
    </comment>
    <comment ref="J771" authorId="1" shapeId="0">
      <text>
        <t>在设计中是否体现</t>
      </text>
    </comment>
    <comment ref="K771" authorId="1" shapeId="0">
      <text>
        <t>测试结果或者DC 指标</t>
      </text>
    </comment>
    <comment ref="G822" authorId="0" shapeId="0">
      <text>
        <t>GuoS:
失效后，违背的安全目标</t>
      </text>
    </comment>
    <comment ref="H822" authorId="0" shapeId="0">
      <text>
        <t>GuoS:
如果违背的安全目标对应的安全机制一样，就写一个ID，否则分开写</t>
      </text>
    </comment>
    <comment ref="J822" authorId="1" shapeId="0">
      <text>
        <t>在设计中是否体现</t>
      </text>
    </comment>
    <comment ref="K822" authorId="1" shapeId="0">
      <text>
        <t>测试结果或者DC 指标</t>
      </text>
    </comment>
    <comment ref="G873" authorId="0" shapeId="0">
      <text>
        <t>GuoS:
失效后，违背的安全目标</t>
      </text>
    </comment>
    <comment ref="H873" authorId="0" shapeId="0">
      <text>
        <t>GuoS:
如果违背的安全目标对应的安全机制一样，就写一个ID，否则分开写</t>
      </text>
    </comment>
    <comment ref="J873" authorId="1" shapeId="0">
      <text>
        <t>在设计中是否体现</t>
      </text>
    </comment>
    <comment ref="K873" authorId="1" shapeId="0">
      <text>
        <t>测试结果或者DC 指标</t>
      </text>
    </comment>
    <comment ref="G924" authorId="0" shapeId="0">
      <text>
        <t>GuoS:
失效后，违背的安全目标</t>
      </text>
    </comment>
    <comment ref="H924" authorId="0" shapeId="0">
      <text>
        <t>GuoS:
如果违背的安全目标对应的安全机制一样，就写一个ID，否则分开写</t>
      </text>
    </comment>
    <comment ref="J924" authorId="1" shapeId="0">
      <text>
        <t>在设计中是否体现</t>
      </text>
    </comment>
    <comment ref="K924" authorId="1" shapeId="0">
      <text>
        <t>测试结果或者DC 指标</t>
      </text>
    </comment>
    <comment ref="G975" authorId="0" shapeId="0">
      <text>
        <t>GuoS:
失效后，违背的安全目标</t>
      </text>
    </comment>
    <comment ref="H975" authorId="0" shapeId="0">
      <text>
        <t>GuoS:
如果违背的安全目标对应的安全机制一样，就写一个ID，否则分开写</t>
      </text>
    </comment>
    <comment ref="J975" authorId="1" shapeId="0">
      <text>
        <t>在设计中是否体现</t>
      </text>
    </comment>
    <comment ref="K975" authorId="1" shapeId="0">
      <text>
        <t>测试结果或者DC 指标</t>
      </text>
    </comment>
    <comment ref="G1026" authorId="0" shapeId="0">
      <text>
        <t>GuoS:
失效后，违背的安全目标</t>
      </text>
    </comment>
    <comment ref="H1026" authorId="0" shapeId="0">
      <text>
        <t>GuoS:
如果违背的安全目标对应的安全机制一样，就写一个ID，否则分开写</t>
      </text>
    </comment>
    <comment ref="J1026" authorId="1" shapeId="0">
      <text>
        <t>在设计中是否体现</t>
      </text>
    </comment>
    <comment ref="K1026" authorId="1" shapeId="0">
      <text>
        <t>测试结果或者DC 指标</t>
      </text>
    </comment>
  </commentList>
</comments>
</file>

<file path=xl/externalLinks/_rels/externalLink1.xml.rels><Relationships xmlns="http://schemas.openxmlformats.org/package/2006/relationships"><Relationship Type="http://schemas.openxmlformats.org/officeDocument/2006/relationships/externalLinkPath" Target="\CA%20Quality%20Syetem\NADL&#36136;&#37327;&#20307;&#31995;&#25991;&#20214;\OSSP-V\6.&#27169;&#26495;\IPPR-IV.xls" TargetMode="External" Id="rId1" /></Relationships>
</file>

<file path=xl/externalLinks/_rels/externalLink2.xml.rels><Relationships xmlns="http://schemas.openxmlformats.org/package/2006/relationships"><Relationship Type="http://schemas.openxmlformats.org/officeDocument/2006/relationships/externalLinkPath" Target="file:///\\anrui-file\CA%20Quality%20Syetem\NADL&#36136;&#37327;&#20307;&#31995;&#25991;&#20214;\OSSP-V\6.&#27169;&#26495;\IPPR-IV.xls" TargetMode="External" Id="rId1" /></Relationships>
</file>

<file path=xl/externalLinks/_rels/externalLink3.xml.rels><Relationships xmlns="http://schemas.openxmlformats.org/package/2006/relationships"><Relationship Type="http://schemas.openxmlformats.org/officeDocument/2006/relationships/externalLinkPath" Target="file:///\\192.168.99.226\VSSData$\CMM%20Workshop\OSSP\OSSP2003\6.Template&amp;Form\03&#31574;&#21010;\&#36719;&#20214;&#24320;&#21457;&#35745;&#21010;-A.xls" TargetMode="External" Id="rId1" /></Relationships>
</file>

<file path=xl/externalLinks/_rels/externalLink4.xml.rels><Relationships xmlns="http://schemas.openxmlformats.org/package/2006/relationships"><Relationship Type="http://schemas.openxmlformats.org/officeDocument/2006/relationships/externalLinkPath" Target="\Users\hdaneva\Desktop\1TODO\SPICE\MFA2_Compliance%20Matrix_VIP.xlsx" TargetMode="External" Id="rId1" /></Relationships>
</file>

<file path=xl/externalLinks/_rels/externalLink5.xml.rels><Relationships xmlns="http://schemas.openxmlformats.org/package/2006/relationships"><Relationship Type="http://schemas.openxmlformats.org/officeDocument/2006/relationships/externalLinkPath" Target="file:///\\anrui-file\Users\hdaneva\Desktop\1TODO\SPICE\MFA2_Compliance%20Matrix_VIP.xlsx" TargetMode="External" Id="rId1" /></Relationships>
</file>

<file path=xl/externalLinks/_rels/externalLink6.xml.rels><Relationships xmlns="http://schemas.openxmlformats.org/package/2006/relationships"><Relationship Type="http://schemas.openxmlformats.org/officeDocument/2006/relationships/externalLinkPath" Target="file:///\\MIRA01\Projects\Users\Mouna%20Maaroufi\Desktop\ZERE%20project\Doc%20released%20to%20IE\3d%20release\242-RAS-067_HARA%20v0%203%20Test.xlsx" TargetMode="External" Id="rId1" /></Relationships>
</file>

<file path=xl/externalLinks/_rels/externalLink7.xml.rels><Relationships xmlns="http://schemas.openxmlformats.org/package/2006/relationships"><Relationship Type="http://schemas.openxmlformats.org/officeDocument/2006/relationships/externalLinkPath" Target="\CA%20Quality%20Syetem\NADL&#36136;&#37327;&#20307;&#31995;&#25991;&#20214;\OSSP-V\6.&#27169;&#26495;\&#39033;&#30446;&#24635;&#32467;&#25253;&#21578;-IV.xls" TargetMode="External" Id="rId1" /></Relationships>
</file>

<file path=xl/externalLinks/_rels/externalLink8.xml.rels><Relationships xmlns="http://schemas.openxmlformats.org/package/2006/relationships"><Relationship Type="http://schemas.openxmlformats.org/officeDocument/2006/relationships/externalLinkPath" Target="file:///\\anrui-file\CA%20Quality%20Syetem\NADL&#36136;&#37327;&#20307;&#31995;&#25991;&#20214;\OSSP-V\6.&#27169;&#26495;\&#39033;&#30446;&#24635;&#32467;&#25253;&#21578;-IV.xls" TargetMode="External" Id="rId1" /></Relationships>
</file>

<file path=xl/externalLinks/_rels/externalLink9.xml.rels><Relationships xmlns="http://schemas.openxmlformats.org/package/2006/relationships"><Relationship Type="http://schemas.openxmlformats.org/officeDocument/2006/relationships/externalLinkPath" Target="file:///\\Picserver\vss\temp\sst3.xls" TargetMode="External" Id="rId1" /></Relationships>
</file>

<file path=xl/externalLinks/_rels/externalLink10.xml.rels><Relationships xmlns="http://schemas.openxmlformats.org/package/2006/relationships"><Relationship Type="http://schemas.openxmlformats.org/officeDocument/2006/relationships/externalLinkPath" Target="\Quality%20Management\01.OSSP\PIC&#21457;&#24067;&#25991;&#20214;\D00(PIC)(2005-7-28)-B\6.&#27169;&#26495;\&#36719;&#20214;&#24320;&#21457;&#35745;&#21010;-B.xls" TargetMode="External" Id="rId1" /></Relationships>
</file>

<file path=xl/externalLinks/_rels/externalLink11.xml.rels><Relationships xmlns="http://schemas.openxmlformats.org/package/2006/relationships"><Relationship Type="http://schemas.openxmlformats.org/officeDocument/2006/relationships/externalLinkPath" Target="file:///\\anrui-file\Quality%20Management\01.OSSP\PIC&#21457;&#24067;&#25991;&#20214;\D00(PIC)(2005-7-28)-B\6.&#27169;&#26495;\&#36719;&#20214;&#24320;&#21457;&#35745;&#21010;-B.xls" TargetMode="External" Id="rId1" /></Relationships>
</file>

<file path=xl/externalLinks/_rels/externalLink12.xml.rels><Relationships xmlns="http://schemas.openxmlformats.org/package/2006/relationships"><Relationship Type="http://schemas.openxmlformats.org/officeDocument/2006/relationships/externalLinkPath" Target="\ProjectSVN\Picasso\01_Development\01_Project%20Management\01_&#39033;&#30446;&#35745;&#21010;&#21644;&#23376;&#35745;&#21010;\Picasso_&#39033;&#30446;&#20272;&#31639;&#34920;.xlsx" TargetMode="External" Id="rId1" /></Relationships>
</file>

<file path=xl/externalLinks/_rels/externalLink13.xml.rels><Relationships xmlns="http://schemas.openxmlformats.org/package/2006/relationships"><Relationship Type="http://schemas.openxmlformats.org/officeDocument/2006/relationships/externalLinkPath" Target="file:///\\anrui-file\ProjectSVN\Picasso\01_Development\01_Project%20Management\01_&#39033;&#30446;&#35745;&#21010;&#21644;&#23376;&#35745;&#21010;\Picasso_&#39033;&#30446;&#20272;&#31639;&#34920;.xlsx" TargetMode="External" Id="rId1" /></Relationships>
</file>

<file path=xl/externalLinks/_rels/externalLink14.xml.rels><Relationships xmlns="http://schemas.openxmlformats.org/package/2006/relationships"><Relationship Type="http://schemas.openxmlformats.org/officeDocument/2006/relationships/externalLinkPath" Target="file:///\\192.168.100.250\epg\&#26041;&#27491;&#25968;&#30721;CMM2&#39033;&#30446;&#22791;&#20221;\CMM2&#25991;&#26723;\Managed\SPTO%20Process\TEMPLATE\&#20010;&#20154;&#21608;&#25253;&#27169;&#26495;.xls" TargetMode="External" Id="rId1" /></Relationships>
</file>

<file path=xl/externalLinks/_rels/externalLink15.xml.rels><Relationships xmlns="http://schemas.openxmlformats.org/package/2006/relationships"><Relationship Type="http://schemas.openxmlformats.org/officeDocument/2006/relationships/externalLinkPath" Target="\Users\Chad.H\OneDrive\&#36827;&#34892;&#20013;\&#25991;&#20214;\Temlate&#25972;&#29702;\Part%202%20Safety%20Management\003.SafetyPlan.xlsx" TargetMode="External" Id="rId1" /></Relationships>
</file>

<file path=xl/externalLinks/_rels/externalLink16.xml.rels><Relationships xmlns="http://schemas.openxmlformats.org/package/2006/relationships"><Relationship Type="http://schemas.openxmlformats.org/officeDocument/2006/relationships/externalLinkPath" Target="\SPI\SPI%20Project\4%20-%20Tasks%20Realization\002_ENG.4\doc\Issue_log_Form.xls" TargetMode="External" Id="rId1" /></Relationships>
</file>

<file path=xl/externalLinks/_rels/externalLink17.xml.rels><Relationships xmlns="http://schemas.openxmlformats.org/package/2006/relationships"><Relationship Type="http://schemas.openxmlformats.org/officeDocument/2006/relationships/externalLinkPath" Target="file:///\\anrui-file\SPI\SPI%20Project\4%20-%20Tasks%20Realization\002_ENG.4\doc\Issue_log_Form.xls" TargetMode="External" Id="rId1" /></Relationships>
</file>

<file path=xl/externalLinks/_rels/externalLink18.xml.rels><Relationships xmlns="http://schemas.openxmlformats.org/package/2006/relationships"><Relationship Type="http://schemas.openxmlformats.org/officeDocument/2006/relationships/externalLinkPath" Target="file:///\\Anrui-file\&#33713;&#33589;&#39033;&#30446;&#31649;&#29702;\TUV%20Rheinland%20Template\Templates\Template%20for%20Work%20Product\Part%204%20System\ISO%2026262_WP4_7_FS_FMEA_Report_SysLevel.xlsx" TargetMode="External" Id="rId1" /></Relationships>
</file>

<file path=xl/externalLinks/_rels/externalLink19.xml.rels><Relationships xmlns="http://schemas.openxmlformats.org/package/2006/relationships"><Relationship Type="http://schemas.openxmlformats.org/officeDocument/2006/relationships/externalLinkPath" Target="\CA%20Quality%20Syetem\NADL&#36136;&#37327;&#20307;&#31995;&#25991;&#20214;\OSSP-V\6.&#27169;&#26495;\&#37324;&#31243;&#30865;&#24635;&#32467;&#25253;&#21578;-IV.xls" TargetMode="External" Id="rId1" /></Relationships>
</file>

<file path=xl/externalLinks/_rels/externalLink20.xml.rels><Relationships xmlns="http://schemas.openxmlformats.org/package/2006/relationships"><Relationship Type="http://schemas.openxmlformats.org/officeDocument/2006/relationships/externalLinkPath" Target="file:///\\anrui-file\CA%20Quality%20Syetem\NADL&#36136;&#37327;&#20307;&#31995;&#25991;&#20214;\OSSP-V\6.&#27169;&#26495;\&#37324;&#31243;&#30865;&#24635;&#32467;&#25253;&#21578;-IV.xls" TargetMode="External" Id="rId1" /></Relationships>
</file>

<file path=xl/externalLinks/_rels/externalLink21.xml.rels><Relationships xmlns="http://schemas.openxmlformats.org/package/2006/relationships"><Relationship Type="http://schemas.openxmlformats.org/officeDocument/2006/relationships/externalLinkPath" Target="file:///\\Picserver\vss\temp\sst4E.xls" TargetMode="External" Id="rId1" /></Relationships>
</file>

<file path=xl/externalLinks/_rels/externalLink22.xml.rels><Relationships xmlns="http://schemas.openxmlformats.org/package/2006/relationships"><Relationship Type="http://schemas.openxmlformats.org/officeDocument/2006/relationships/externalLinkPath" Target="\TFS\WKS\10-&#24230;&#37327;&#23384;&#20786;-MA\&#24230;&#37327;&#20998;&#26512;&#32317;&#34920;.xls" TargetMode="External" Id="rId1" /></Relationships>
</file>

<file path=xl/externalLinks/_rels/externalLink23.xml.rels><Relationships xmlns="http://schemas.openxmlformats.org/package/2006/relationships"><Relationship Type="http://schemas.openxmlformats.org/officeDocument/2006/relationships/externalLinkPath" Target="file:///\\anrui-file\TFS\WKS\10-&#24230;&#37327;&#23384;&#20786;-MA\&#24230;&#37327;&#20998;&#26512;&#32317;&#34920;.xls" TargetMode="External" Id="rId1" /></Relationships>
</file>

<file path=xl/externalLinks/_rels/externalLink24.xml.rels><Relationships xmlns="http://schemas.openxmlformats.org/package/2006/relationships"><Relationship Type="http://schemas.openxmlformats.org/officeDocument/2006/relationships/externalLinkPath" Target="file:///\\192.168.1.6\Enterprise%20Data\2017%20OED%20Project\3&#12289;SPIC\&#27969;&#31243;&#27161;&#28310;&#21270;\SOP\Template&#33609;&#31295;&#21443;&#32771;&#25991;&#20214;\TMP-PJM-07-&#23560;&#26696;&#20272;&#31639;&#34920;.xlsx" TargetMode="External" Id="rId1" /></Relationships>
</file>

<file path=xl/externalLinks/_rels/externalLink25.xml.rels><Relationships xmlns="http://schemas.openxmlformats.org/package/2006/relationships"><Relationship Type="http://schemas.openxmlformats.org/officeDocument/2006/relationships/externalLinkPath" Target="ABC-T-SW-02.03_SW%20DFA%20report.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发行控制"/>
      <sheetName val="填写及缩略语说明"/>
      <sheetName val="Cover"/>
      <sheetName val="Project Status"/>
      <sheetName val="Requirements Tracking"/>
      <sheetName val="Size Tracking"/>
      <sheetName val="Effort Tracking"/>
      <sheetName val="Schedule Tracking"/>
      <sheetName val="Quality Tracking"/>
      <sheetName val="Review Tracking"/>
      <sheetName val="Test Tracking"/>
      <sheetName val="Critical Resource Tracking"/>
      <sheetName val="Risk Tracking"/>
      <sheetName val="PDB-DEV"/>
      <sheetName val="分类数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发行控制"/>
      <sheetName val="填写及缩略语说明"/>
      <sheetName val="Cover"/>
      <sheetName val="Project Status"/>
      <sheetName val="Requirements Tracking"/>
      <sheetName val="Size Tracking"/>
      <sheetName val="Effort Tracking"/>
      <sheetName val="Schedule Tracking"/>
      <sheetName val="Quality Tracking"/>
      <sheetName val="Review Tracking"/>
      <sheetName val="Test Tracking"/>
      <sheetName val="Critical Resource Tracking"/>
      <sheetName val="Risk Tracking"/>
      <sheetName val="PDB-DEV"/>
      <sheetName val="分类数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文件封面"/>
      <sheetName val="文件修改控制"/>
      <sheetName val="封面"/>
      <sheetName val="目录"/>
      <sheetName val="变更履历"/>
      <sheetName val="信息定义"/>
      <sheetName val="概述"/>
      <sheetName val="里程碑管理"/>
      <sheetName val="规模及工作量"/>
      <sheetName val="关键计算机资源"/>
      <sheetName val="环境"/>
      <sheetName val="软件度量"/>
      <sheetName val="组间协调"/>
      <sheetName val="培训"/>
      <sheetName val="软件配置管理"/>
      <sheetName val="配置库权限"/>
      <sheetName val="分类数据"/>
      <sheetName val="Target"/>
      <sheetName val="PickList"/>
      <sheetName val="Meta Data"/>
      <sheetName val="Versuchskosten pro Bauteil"/>
      <sheetName val="Versuchskosten pro Ph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Review Checklist"/>
      <sheetName val="Comp Matrix - Adblue"/>
      <sheetName val="Comp Matrix - HIL"/>
      <sheetName val="Comp Matrix - ECO Assist"/>
      <sheetName val="Comp Matrix - HUD Settings"/>
      <sheetName val="Comp Matrix - Assyst Plus"/>
      <sheetName val="Comp Matrix - White Point"/>
      <sheetName val="Comp Matrix - Acoustics Out"/>
      <sheetName val="Comp Matrix - Speedometer"/>
      <sheetName val="Comp Matrix - Assyst"/>
      <sheetName val="Comp Matrix - Speed Limiter"/>
      <sheetName val="Comp Matrix - FOTA"/>
      <sheetName val="Comp Matrix - Sleep WakeUp"/>
      <sheetName val="Comp Matrix - Speed Warning"/>
      <sheetName val="Comp Matrix - Acoustics Output"/>
      <sheetName val="信息定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Review Checklist"/>
      <sheetName val="Comp Matrix - Adblue"/>
      <sheetName val="Comp Matrix - HIL"/>
      <sheetName val="Comp Matrix - ECO Assist"/>
      <sheetName val="Comp Matrix - HUD Settings"/>
      <sheetName val="Comp Matrix - Assyst Plus"/>
      <sheetName val="Comp Matrix - White Point"/>
      <sheetName val="Comp Matrix - Acoustics Out"/>
      <sheetName val="Comp Matrix - Speedometer"/>
      <sheetName val="Comp Matrix - Assyst"/>
      <sheetName val="Comp Matrix - Speed Limiter"/>
      <sheetName val="Comp Matrix - FOTA"/>
      <sheetName val="Comp Matrix - Sleep WakeUp"/>
      <sheetName val="Comp Matrix - Speed Warning"/>
      <sheetName val="Comp Matrix - Acoustics 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Front Sheet"/>
      <sheetName val="ASIL"/>
      <sheetName val="FF Guidewords"/>
      <sheetName val="Operational Situations"/>
      <sheetName val="System"/>
      <sheetName val="Hazard Assessment"/>
      <sheetName val="Hazard List"/>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发行控制"/>
      <sheetName val="封面"/>
      <sheetName val="目录"/>
      <sheetName val="基本信息"/>
      <sheetName val="项目目标"/>
      <sheetName val="质量"/>
      <sheetName val="同行评审"/>
      <sheetName val="测试过程"/>
      <sheetName val="工作量"/>
      <sheetName val="进度"/>
      <sheetName val="需求管理"/>
      <sheetName val="风险管理"/>
      <sheetName val="优秀实践"/>
      <sheetName val="优秀产品"/>
      <sheetName val="附录1"/>
      <sheetName val="Comp Matrix - Adbl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发行控制"/>
      <sheetName val="封面"/>
      <sheetName val="目录"/>
      <sheetName val="基本信息"/>
      <sheetName val="项目目标"/>
      <sheetName val="质量"/>
      <sheetName val="同行评审"/>
      <sheetName val="测试过程"/>
      <sheetName val="工作量"/>
      <sheetName val="进度"/>
      <sheetName val="需求管理"/>
      <sheetName val="风险管理"/>
      <sheetName val="优秀实践"/>
      <sheetName val="优秀产品"/>
      <sheetName val="附录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引言"/>
      <sheetName val="生产率"/>
      <sheetName val="质量"/>
      <sheetName val="工作量"/>
      <sheetName val="进度"/>
      <sheetName val="Comp Matrix - Adblue"/>
      <sheetName val="信息定义"/>
      <sheetName val="同行评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文件封面"/>
      <sheetName val="文件修改控制"/>
      <sheetName val="封面"/>
      <sheetName val="目录"/>
      <sheetName val="变更履历"/>
      <sheetName val="信息定义"/>
      <sheetName val="概述"/>
      <sheetName val="目标及策略"/>
      <sheetName val="里程碑管理"/>
      <sheetName val="规模管理"/>
      <sheetName val="质量管理"/>
      <sheetName val="质量管理-详细"/>
      <sheetName val="成本管理"/>
      <sheetName val="工作量管理"/>
      <sheetName val="进度管理"/>
      <sheetName val="进度管理-详细"/>
      <sheetName val="关键计算机资源"/>
      <sheetName val="人员管理"/>
      <sheetName val="环境管理"/>
      <sheetName val="风险管理"/>
      <sheetName val="组间协调管理"/>
      <sheetName val="培训管理"/>
      <sheetName val="项目数据库(PDB)"/>
      <sheetName val="同行评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文件封面"/>
      <sheetName val="文件修改控制"/>
      <sheetName val="封面"/>
      <sheetName val="目录"/>
      <sheetName val="变更履历"/>
      <sheetName val="信息定义"/>
      <sheetName val="概述"/>
      <sheetName val="目标及策略"/>
      <sheetName val="里程碑管理"/>
      <sheetName val="规模管理"/>
      <sheetName val="质量管理"/>
      <sheetName val="质量管理-详细"/>
      <sheetName val="成本管理"/>
      <sheetName val="工作量管理"/>
      <sheetName val="进度管理"/>
      <sheetName val="进度管理-详细"/>
      <sheetName val="关键计算机资源"/>
      <sheetName val="人员管理"/>
      <sheetName val="环境管理"/>
      <sheetName val="风险管理"/>
      <sheetName val="组间协调管理"/>
      <sheetName val="培训管理"/>
      <sheetName val="项目数据库(P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封皮"/>
      <sheetName val="修订记录"/>
      <sheetName val="估算方法"/>
      <sheetName val="估算系数"/>
      <sheetName val="估算结果"/>
      <sheetName val="专家法估算"/>
      <sheetName val="测试工作量估算"/>
      <sheetName val="组织度量参考值"/>
      <sheetName val="11.20 FPGA编码与单元测试重新估算"/>
      <sheetName val="11.20 DSP编码与单元测试重新估算"/>
      <sheetName val="Video估算"/>
      <sheetName val="引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封皮"/>
      <sheetName val="修订记录"/>
      <sheetName val="估算方法"/>
      <sheetName val="估算系数"/>
      <sheetName val="估算结果"/>
      <sheetName val="专家法估算"/>
      <sheetName val="测试工作量估算"/>
      <sheetName val="组织度量参考值"/>
      <sheetName val="11.20 FPGA编码与单元测试重新估算"/>
      <sheetName val="11.20 DSP编码与单元测试重新估算"/>
      <sheetName val="Video估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版本信息"/>
      <sheetName val="填写说明"/>
      <sheetName val="工作日志"/>
      <sheetName val="分类统计"/>
      <sheetName val="估算系数"/>
      <sheetName val="引言"/>
      <sheetName val="同行评审"/>
      <sheetName val="Comp Matrix - Adblue"/>
      <sheetName val="信息定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Cover"/>
      <sheetName val="General-Description"/>
      <sheetName val="1_Role and Responsibilities"/>
      <sheetName val="Description of 2_Safety_plan"/>
      <sheetName val="2_Safety_plan"/>
      <sheetName val="Description of 3_Document_list"/>
      <sheetName val="Tabelle1"/>
      <sheetName val="Comp Matrix - Adblue"/>
    </sheetNames>
    <sheetDataSet>
      <sheetData sheetId="0"/>
      <sheetData sheetId="1"/>
      <sheetData sheetId="2"/>
      <sheetData sheetId="3"/>
      <sheetData sheetId="4"/>
      <sheetData sheetId="5"/>
      <sheetData sheetId="6"/>
      <sheetData sheetId="7" refreshError="1"/>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Form Identification"/>
      <sheetName val="Instructions"/>
      <sheetName val="信息定义"/>
    </sheetNames>
    <sheetDataSet>
      <sheetData sheetId="0" refreshError="1"/>
      <sheetData sheetId="1" refreshError="1"/>
      <sheetData sheetId="2"/>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Form Identification"/>
      <sheetName val="Instructions"/>
    </sheetNames>
    <sheetDataSet>
      <sheetData sheetId="0" refreshError="1"/>
      <sheetData sheetId="1" refreshError="1"/>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Cover"/>
      <sheetName val="System block Diagram"/>
      <sheetName val="Safety Mechanism"/>
      <sheetName val="FMEA"/>
      <sheetName val="Notes"/>
    </sheetNames>
    <sheetDataSet>
      <sheetData sheetId="0" refreshError="1"/>
      <sheetData sheetId="1" refreshError="1"/>
      <sheetData sheetId="2" refreshError="1"/>
      <sheetData sheetId="3" refreshError="1"/>
      <sheetData sheetId="4" refreshError="1"/>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发行控制"/>
      <sheetName val="封面"/>
      <sheetName val="1.概述"/>
      <sheetName val="2.质量"/>
      <sheetName val="3.成本"/>
      <sheetName val="4.工期"/>
      <sheetName val="3.工作量"/>
      <sheetName val="4.进度"/>
      <sheetName val="估算系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发行控制"/>
      <sheetName val="封面"/>
      <sheetName val="1.概述"/>
      <sheetName val="2.质量"/>
      <sheetName val="3.成本"/>
      <sheetName val="4.工期"/>
      <sheetName val="3.工作量"/>
      <sheetName val="4.进度"/>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发行控制"/>
      <sheetName val="填写及缩略语说明"/>
      <sheetName val="Cover"/>
      <sheetName val="Project Status"/>
      <sheetName val="Requirements Tracking"/>
      <sheetName val="Size Tracking"/>
      <sheetName val="Effort Tracking"/>
      <sheetName val="Schedule Tracking"/>
      <sheetName val="Quality Tracking"/>
      <sheetName val="Review Tracking"/>
      <sheetName val="Test Tracking"/>
      <sheetName val="Critical Resource Tracking"/>
      <sheetName val="Risk Tracking"/>
      <sheetName val="TP Tracking"/>
      <sheetName val="IC Tracking"/>
      <sheetName val="PDB-DEV"/>
      <sheetName val="分类数据"/>
      <sheetName val="PDB-MAINT"/>
      <sheetName val="1.概述"/>
      <sheetName val="估算系数"/>
      <sheetName val="信息定义"/>
      <sheetName val="任务进度"/>
      <sheetName val="同行评审"/>
      <sheetName val="分类统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度量需求來源"/>
      <sheetName val="度量目標"/>
      <sheetName val="Policy度量項目"/>
      <sheetName val="備選度量項目"/>
      <sheetName val="基礎度量定義表"/>
      <sheetName val="度量指標"/>
      <sheetName val="指南-統計學概念"/>
      <sheetName val="MA執行中的度量項目"/>
      <sheetName val="指南-各圖形的應用"/>
      <sheetName val="指南-圖形製作"/>
      <sheetName val="指南-統計分析技術及Minitab操作"/>
      <sheetName val="SWOT"/>
      <sheetName val="平衡記分卡"/>
      <sheetName val="魚骨圖"/>
      <sheetName val="分類表BKP"/>
      <sheetName val="Form Identific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度量需求來源"/>
      <sheetName val="度量目標"/>
      <sheetName val="Policy度量項目"/>
      <sheetName val="備選度量項目"/>
      <sheetName val="基礎度量定義表"/>
      <sheetName val="度量指標"/>
      <sheetName val="指南-統計學概念"/>
      <sheetName val="MA執行中的度量項目"/>
      <sheetName val="指南-各圖形的應用"/>
      <sheetName val="指南-圖形製作"/>
      <sheetName val="指南-統計分析技術及Minitab操作"/>
      <sheetName val="SWOT"/>
      <sheetName val="平衡記分卡"/>
      <sheetName val="魚骨圖"/>
      <sheetName val="分類表BK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模板修改記錄"/>
      <sheetName val="封面 (NEW)"/>
      <sheetName val="修訂記錄"/>
      <sheetName val="目錄"/>
      <sheetName val="1.概述"/>
      <sheetName val="2. 術語表"/>
      <sheetName val="3.估算方法"/>
      <sheetName val="4.開發工作估算和跟蹤"/>
      <sheetName val="专家法估算"/>
      <sheetName val="5.其他工作估算和跟蹤"/>
      <sheetName val="6.整體估算結果和跟蹤"/>
      <sheetName val="7.估算係數"/>
      <sheetName val="歷史資料"/>
      <sheetName val="测试工作量估算"/>
      <sheetName val="Form Identification"/>
      <sheetName val="分類表BKP"/>
      <sheetName val="任务进度"/>
      <sheetName val="分类统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封面"/>
      <sheetName val="变更履历"/>
      <sheetName val="General"/>
      <sheetName val="SW architecture"/>
      <sheetName val="Combination matrix"/>
      <sheetName val="Top Event"/>
      <sheetName val="SW DFA"/>
      <sheetName val="SM list"/>
      <sheetName val="模板变更履历"/>
    </sheetNames>
    <sheetDataSet>
      <sheetData sheetId="0"/>
      <sheetData sheetId="1"/>
      <sheetData sheetId="2"/>
      <sheetData sheetId="3"/>
      <sheetData sheetId="4"/>
      <sheetData sheetId="5">
        <row r="4">
          <cell r="B4" t="str">
            <v>SW_DF_001</v>
          </cell>
        </row>
        <row r="5">
          <cell r="B5" t="str">
            <v>SW_DF_002</v>
          </cell>
        </row>
      </sheetData>
      <sheetData sheetId="6"/>
      <sheetData sheetId="7"/>
      <sheetData sheetId="8"/>
    </sheetDataSet>
  </externalBook>
</externalLink>
</file>

<file path=xl/theme/theme1.xml><?xml version="1.0" encoding="utf-8"?>
<a:theme xmlns:a="http://schemas.openxmlformats.org/drawingml/2006/main" name="SGS">
  <a:themeElements>
    <a:clrScheme name="SGS">
      <a:dk1>
        <a:sysClr val="windowText" lastClr="000000"/>
      </a:dk1>
      <a:lt1>
        <a:sysClr val="window" lastClr="FFFFFF"/>
      </a:lt1>
      <a:dk2>
        <a:srgbClr val="000000"/>
      </a:dk2>
      <a:lt2>
        <a:srgbClr val="EEECE1"/>
      </a:lt2>
      <a:accent1>
        <a:srgbClr val="363636"/>
      </a:accent1>
      <a:accent2>
        <a:srgbClr val="848685"/>
      </a:accent2>
      <a:accent3>
        <a:srgbClr val="FF6600"/>
      </a:accent3>
      <a:accent4>
        <a:srgbClr val="BCBCBC"/>
      </a:accent4>
      <a:accent5>
        <a:srgbClr val="FF9900"/>
      </a:accent5>
      <a:accent6>
        <a:srgbClr val="FF0000"/>
      </a:accent6>
      <a:hlink>
        <a:srgbClr val="FF6600"/>
      </a:hlink>
      <a:folHlink>
        <a:srgbClr val="363636"/>
      </a:folHlink>
    </a:clrScheme>
    <a:fontScheme name="default">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spPr>
      <a:bodyPr vert="horz" wrap="square" lIns="91440" tIns="45720" rIns="91440" bIns="45720" numCol="1" anchor="t" anchorCtr="0" compatLnSpc="1"/>
      <a:lstStyle>
        <a:defPPr marL="0" marR="0" indent="0" algn="l" defTabSz="914400" rtl="0" eaLnBrk="0" fontAlgn="base" latinLnBrk="0" hangingPunct="0">
          <a:lnSpc>
            <a:spcPct val="100000"/>
          </a:lnSpc>
          <a:spcBef>
            <a:spcPct val="0"/>
          </a:spcBef>
          <a:spcAft>
            <a:spcPct val="0"/>
          </a:spcAft>
          <a:buClrTx/>
          <a:buSzTx/>
          <a:buFontTx/>
          <a:buNone/>
          <a:defRPr kumimoji="0" lang="en-US" sz="2400" b="0" i="0" u="none" strike="noStrike" cap="none" normalizeH="0" baseline="0" smtClean="0">
            <a:ln>
              <a:noFill/>
            </a:ln>
            <a:solidFill>
              <a:schemeClr val="tx1"/>
            </a:solidFill>
            <a:effectLst/>
            <a:latin typeface="Times New Roman" panose="02020603050405020304" pitchFamily="18" charset="0"/>
          </a:defRPr>
        </a:defPPr>
      </a:lstStyle>
    </a:spDef>
    <a:ln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spPr>
      <a:bodyPr vert="horz" wrap="square" lIns="91440" tIns="45720" rIns="91440" bIns="45720" numCol="1" anchor="t" anchorCtr="0" compatLnSpc="1"/>
      <a:lstStyle>
        <a:defPPr marL="0" marR="0" indent="0" algn="l" defTabSz="914400" rtl="0" eaLnBrk="0" fontAlgn="base" latinLnBrk="0" hangingPunct="0">
          <a:lnSpc>
            <a:spcPct val="100000"/>
          </a:lnSpc>
          <a:spcBef>
            <a:spcPct val="0"/>
          </a:spcBef>
          <a:spcAft>
            <a:spcPct val="0"/>
          </a:spcAft>
          <a:buClrTx/>
          <a:buSzTx/>
          <a:buFontTx/>
          <a:buNone/>
          <a:defRPr kumimoji="0" lang="en-US" sz="2400" b="0" i="0" u="none" strike="noStrike" cap="none" normalizeH="0" baseline="0" smtClean="0">
            <a:ln>
              <a:noFill/>
            </a:ln>
            <a:solidFill>
              <a:schemeClr val="tx1"/>
            </a:solidFill>
            <a:effectLst/>
            <a:latin typeface="Times New Roman" panose="02020603050405020304" pitchFamily="18" charset="0"/>
          </a:defRPr>
        </a:defPPr>
      </a:lstStyle>
    </a:lnDef>
  </a:objectDefaults>
  <a:extraClrSchemeLst>
    <a:extraClrScheme>
      <a:clrScheme name="default 1">
        <a:dk1>
          <a:srgbClr val="000000"/>
        </a:dk1>
        <a:lt1>
          <a:srgbClr val="FFFFFF"/>
        </a:lt1>
        <a:dk2>
          <a:srgbClr val="000000"/>
        </a:dk2>
        <a:lt2>
          <a:srgbClr val="808080"/>
        </a:lt2>
        <a:accent1>
          <a:srgbClr val="00CC99"/>
        </a:accent1>
        <a:accent2>
          <a:srgbClr val="3333CC"/>
        </a:accent2>
        <a:accent3>
          <a:srgbClr val="FFFFFF"/>
        </a:accent3>
        <a:accent4>
          <a:srgbClr val="000000"/>
        </a:accent4>
        <a:accent5>
          <a:srgbClr val="AAE2CA"/>
        </a:accent5>
        <a:accent6>
          <a:srgbClr val="2D2DB9"/>
        </a:accent6>
        <a:hlink>
          <a:srgbClr val="CCCCFF"/>
        </a:hlink>
        <a:folHlink>
          <a:srgbClr val="B2B2B2"/>
        </a:folHlink>
      </a:clrScheme>
      <a:clrMap bg1="lt1" tx1="dk1" bg2="lt2" tx2="dk2" accent1="accent1" accent2="accent2" accent3="accent3" accent4="accent4" accent5="accent5" accent6="accent6" hlink="hlink" folHlink="folHlink"/>
    </a:extraClrScheme>
    <a:extraClrScheme>
      <a:clrScheme name="default 2">
        <a:dk1>
          <a:srgbClr val="000000"/>
        </a:dk1>
        <a:lt1>
          <a:srgbClr val="FFFFFF"/>
        </a:lt1>
        <a:dk2>
          <a:srgbClr val="0000FF"/>
        </a:dk2>
        <a:lt2>
          <a:srgbClr val="FFFF00"/>
        </a:lt2>
        <a:accent1>
          <a:srgbClr val="FF9900"/>
        </a:accent1>
        <a:accent2>
          <a:srgbClr val="00FFFF"/>
        </a:accent2>
        <a:accent3>
          <a:srgbClr val="AAAAFF"/>
        </a:accent3>
        <a:accent4>
          <a:srgbClr val="DADADA"/>
        </a:accent4>
        <a:accent5>
          <a:srgbClr val="FFCAAA"/>
        </a:accent5>
        <a:accent6>
          <a:srgbClr val="00E7E7"/>
        </a:accent6>
        <a:hlink>
          <a:srgbClr val="FF0000"/>
        </a:hlink>
        <a:folHlink>
          <a:srgbClr val="969696"/>
        </a:folHlink>
      </a:clrScheme>
      <a:clrMap bg1="dk2" tx1="lt1" bg2="dk1" tx2="lt2" accent1="accent1" accent2="accent2" accent3="accent3" accent4="accent4" accent5="accent5" accent6="accent6" hlink="hlink" folHlink="folHlink"/>
    </a:extraClrScheme>
    <a:extraClrScheme>
      <a:clrScheme name="default 3">
        <a:dk1>
          <a:srgbClr val="000000"/>
        </a:dk1>
        <a:lt1>
          <a:srgbClr val="FFFFCC"/>
        </a:lt1>
        <a:dk2>
          <a:srgbClr val="808000"/>
        </a:dk2>
        <a:lt2>
          <a:srgbClr val="666633"/>
        </a:lt2>
        <a:accent1>
          <a:srgbClr val="339933"/>
        </a:accent1>
        <a:accent2>
          <a:srgbClr val="800000"/>
        </a:accent2>
        <a:accent3>
          <a:srgbClr val="FFFFE2"/>
        </a:accent3>
        <a:accent4>
          <a:srgbClr val="000000"/>
        </a:accent4>
        <a:accent5>
          <a:srgbClr val="ADCAAD"/>
        </a:accent5>
        <a:accent6>
          <a:srgbClr val="730000"/>
        </a:accent6>
        <a:hlink>
          <a:srgbClr val="0033CC"/>
        </a:hlink>
        <a:folHlink>
          <a:srgbClr val="FFCC66"/>
        </a:folHlink>
      </a:clrScheme>
      <a:clrMap bg1="lt1" tx1="dk1" bg2="lt2" tx2="dk2" accent1="accent1" accent2="accent2" accent3="accent3" accent4="accent4" accent5="accent5" accent6="accent6" hlink="hlink" folHlink="folHlink"/>
    </a:extraClrScheme>
    <a:extraClrScheme>
      <a:clrScheme name="default 4">
        <a:dk1>
          <a:srgbClr val="000000"/>
        </a:dk1>
        <a:lt1>
          <a:srgbClr val="FFFFFF"/>
        </a:lt1>
        <a:dk2>
          <a:srgbClr val="000000"/>
        </a:dk2>
        <a:lt2>
          <a:srgbClr val="333333"/>
        </a:lt2>
        <a:accent1>
          <a:srgbClr val="DDDDDD"/>
        </a:accent1>
        <a:accent2>
          <a:srgbClr val="808080"/>
        </a:accent2>
        <a:accent3>
          <a:srgbClr val="FFFFFF"/>
        </a:accent3>
        <a:accent4>
          <a:srgbClr val="000000"/>
        </a:accent4>
        <a:accent5>
          <a:srgbClr val="EBEBEB"/>
        </a:accent5>
        <a:accent6>
          <a:srgbClr val="737373"/>
        </a:accent6>
        <a:hlink>
          <a:srgbClr val="4D4D4D"/>
        </a:hlink>
        <a:folHlink>
          <a:srgbClr val="EAEAEA"/>
        </a:folHlink>
      </a:clrScheme>
      <a:clrMap bg1="lt1" tx1="dk1" bg2="lt2" tx2="dk2" accent1="accent1" accent2="accent2" accent3="accent3" accent4="accent4" accent5="accent5" accent6="accent6" hlink="hlink" folHlink="folHlink"/>
    </a:extraClrScheme>
    <a:extraClrScheme>
      <a:clrScheme name="default 5">
        <a:dk1>
          <a:srgbClr val="000000"/>
        </a:dk1>
        <a:lt1>
          <a:srgbClr val="FFFFFF"/>
        </a:lt1>
        <a:dk2>
          <a:srgbClr val="000000"/>
        </a:dk2>
        <a:lt2>
          <a:srgbClr val="808080"/>
        </a:lt2>
        <a:accent1>
          <a:srgbClr val="FFCC66"/>
        </a:accent1>
        <a:accent2>
          <a:srgbClr val="0000FF"/>
        </a:accent2>
        <a:accent3>
          <a:srgbClr val="FFFFFF"/>
        </a:accent3>
        <a:accent4>
          <a:srgbClr val="000000"/>
        </a:accent4>
        <a:accent5>
          <a:srgbClr val="FFE2B8"/>
        </a:accent5>
        <a:accent6>
          <a:srgbClr val="0000E7"/>
        </a:accent6>
        <a:hlink>
          <a:srgbClr val="CC00CC"/>
        </a:hlink>
        <a:folHlink>
          <a:srgbClr val="C0C0C0"/>
        </a:folHlink>
      </a:clrScheme>
      <a:clrMap bg1="lt1" tx1="dk1" bg2="lt2" tx2="dk2" accent1="accent1" accent2="accent2" accent3="accent3" accent4="accent4" accent5="accent5" accent6="accent6" hlink="hlink" folHlink="folHlink"/>
    </a:extraClrScheme>
    <a:extraClrScheme>
      <a:clrScheme name="default 6">
        <a:dk1>
          <a:srgbClr val="000000"/>
        </a:dk1>
        <a:lt1>
          <a:srgbClr val="FFFFFF"/>
        </a:lt1>
        <a:dk2>
          <a:srgbClr val="000000"/>
        </a:dk2>
        <a:lt2>
          <a:srgbClr val="808080"/>
        </a:lt2>
        <a:accent1>
          <a:srgbClr val="C0C0C0"/>
        </a:accent1>
        <a:accent2>
          <a:srgbClr val="0066FF"/>
        </a:accent2>
        <a:accent3>
          <a:srgbClr val="FFFFFF"/>
        </a:accent3>
        <a:accent4>
          <a:srgbClr val="000000"/>
        </a:accent4>
        <a:accent5>
          <a:srgbClr val="DCDCDC"/>
        </a:accent5>
        <a:accent6>
          <a:srgbClr val="005CE7"/>
        </a:accent6>
        <a:hlink>
          <a:srgbClr val="FF0000"/>
        </a:hlink>
        <a:folHlink>
          <a:srgbClr val="009900"/>
        </a:folHlink>
      </a:clrScheme>
      <a:clrMap bg1="lt1" tx1="dk1" bg2="lt2" tx2="dk2" accent1="accent1" accent2="accent2" accent3="accent3" accent4="accent4" accent5="accent5" accent6="accent6" hlink="hlink" folHlink="folHlink"/>
    </a:extraClrScheme>
    <a:extraClrScheme>
      <a:clrScheme name="default 7">
        <a:dk1>
          <a:srgbClr val="000000"/>
        </a:dk1>
        <a:lt1>
          <a:srgbClr val="FFFFFF"/>
        </a:lt1>
        <a:dk2>
          <a:srgbClr val="000000"/>
        </a:dk2>
        <a:lt2>
          <a:srgbClr val="808080"/>
        </a:lt2>
        <a:accent1>
          <a:srgbClr val="3399FF"/>
        </a:accent1>
        <a:accent2>
          <a:srgbClr val="99FFCC"/>
        </a:accent2>
        <a:accent3>
          <a:srgbClr val="FFFFFF"/>
        </a:accent3>
        <a:accent4>
          <a:srgbClr val="000000"/>
        </a:accent4>
        <a:accent5>
          <a:srgbClr val="ADCAFF"/>
        </a:accent5>
        <a:accent6>
          <a:srgbClr val="8AE7B9"/>
        </a:accent6>
        <a:hlink>
          <a:srgbClr val="CC00CC"/>
        </a:hlink>
        <a:folHlink>
          <a:srgbClr val="B2B2B2"/>
        </a:folHlink>
      </a:clrScheme>
      <a:clrMap bg1="lt1" tx1="dk1" bg2="lt2" tx2="dk2" accent1="accent1" accent2="accent2" accent3="accent3" accent4="accent4" accent5="accent5" accent6="accent6" hlink="hlink" folHlink="folHlink"/>
    </a:extraClrScheme>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autoPageBreaks="0"/>
  </sheetPr>
  <dimension ref="A1:I44"/>
  <sheetViews>
    <sheetView view="pageBreakPreview" topLeftCell="A7" zoomScaleNormal="100" workbookViewId="0">
      <selection activeCell="B35" sqref="B35:C35"/>
    </sheetView>
  </sheetViews>
  <sheetFormatPr baseColWidth="8" defaultColWidth="8" defaultRowHeight="14"/>
  <cols>
    <col width="10.8333333333333" customWidth="1" style="142" min="1" max="1"/>
    <col width="9" customWidth="1" style="142" min="2" max="2"/>
    <col width="9.58333333333333" customWidth="1" style="142" min="3" max="3"/>
    <col width="10.1666666666667" customWidth="1" style="142" min="4" max="4"/>
    <col width="9.58333333333333" customWidth="1" style="142" min="5" max="7"/>
    <col width="10" customWidth="1" style="142" min="8" max="8"/>
    <col width="9.58333333333333" customWidth="1" style="142" min="9" max="9"/>
    <col width="8" customWidth="1" style="142" min="10" max="16384"/>
  </cols>
  <sheetData>
    <row r="1" ht="32.15" customHeight="1">
      <c r="A1" s="143" t="n"/>
      <c r="B1" s="158" t="n"/>
      <c r="C1" s="144" t="inlineStr">
        <is>
          <t>SW FMEA &amp;&amp; DFA报告</t>
        </is>
      </c>
      <c r="D1" s="159" t="n"/>
      <c r="E1" s="159" t="n"/>
      <c r="F1" s="159" t="n"/>
      <c r="G1" s="158" t="n"/>
      <c r="H1" s="160" t="inlineStr">
        <is>
          <t>模板编号/版本:
AR/SR-0908-007-V0</t>
        </is>
      </c>
      <c r="I1" s="158" t="n"/>
    </row>
    <row r="2" ht="24.9" customHeight="1">
      <c r="A2" s="147" t="inlineStr">
        <is>
          <t>项目编号</t>
        </is>
      </c>
      <c r="B2" s="158" t="n"/>
      <c r="C2" s="148" t="inlineStr">
        <is>
          <t>C255-10</t>
        </is>
      </c>
      <c r="D2" s="147" t="inlineStr">
        <is>
          <t>版本号</t>
        </is>
      </c>
      <c r="E2" s="149" t="inlineStr">
        <is>
          <t>V1.0</t>
        </is>
      </c>
      <c r="F2" s="147" t="inlineStr">
        <is>
          <t>发布日期</t>
        </is>
      </c>
      <c r="G2" s="150">
        <f>B37</f>
        <v/>
      </c>
      <c r="H2" s="143" t="inlineStr">
        <is>
          <t>页数</t>
        </is>
      </c>
      <c r="I2" s="151" t="inlineStr">
        <is>
          <t>1/1</t>
        </is>
      </c>
    </row>
    <row r="3" ht="14.4" customHeight="1">
      <c r="A3" s="161" t="inlineStr">
        <is>
          <t>C255-10
SW FMEA &amp;&amp; DFA报告</t>
        </is>
      </c>
      <c r="B3" s="162" t="n"/>
      <c r="C3" s="162" t="n"/>
      <c r="D3" s="162" t="n"/>
      <c r="E3" s="162" t="n"/>
      <c r="F3" s="162" t="n"/>
      <c r="G3" s="162" t="n"/>
      <c r="H3" s="162" t="n"/>
      <c r="I3" s="162" t="n"/>
    </row>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5" customHeight="1"/>
    <row r="21" ht="17.25" customHeight="1"/>
    <row r="22" ht="13.5" customHeight="1"/>
    <row r="23" ht="13.5" customHeight="1"/>
    <row r="24" ht="17.25" customHeight="1"/>
    <row r="25" ht="13.5" customHeight="1"/>
    <row r="26" ht="13.5" customHeight="1"/>
    <row r="27" ht="13.5" customHeight="1"/>
    <row r="28" ht="15" customHeight="1"/>
    <row r="29" ht="17.25" customHeight="1"/>
    <row r="30" ht="17.25" customHeight="1"/>
    <row r="31" ht="17.25" customHeight="1"/>
    <row r="32" ht="14.4" customHeight="1"/>
    <row r="33" ht="14.4" customHeight="1">
      <c r="A33" s="163" t="n"/>
      <c r="B33" s="163" t="n"/>
      <c r="C33" s="163" t="n"/>
      <c r="D33" s="163" t="n"/>
      <c r="E33" s="163" t="n"/>
      <c r="F33" s="163" t="n"/>
      <c r="G33" s="163" t="n"/>
      <c r="H33" s="163" t="n"/>
      <c r="I33" s="163" t="n"/>
    </row>
    <row r="34" ht="48" customHeight="1">
      <c r="A34" s="164" t="inlineStr">
        <is>
          <t>发布部门</t>
        </is>
      </c>
      <c r="B34" s="164" t="inlineStr">
        <is>
          <t>技术课</t>
        </is>
      </c>
      <c r="C34" s="159" t="n"/>
      <c r="D34" s="158" t="n"/>
      <c r="E34" s="164" t="inlineStr">
        <is>
          <t>保密等级</t>
        </is>
      </c>
      <c r="F34" s="158" t="n"/>
      <c r="G34" s="164" t="inlineStr">
        <is>
          <t>□绝密     ■机密
□秘密     □公开</t>
        </is>
      </c>
      <c r="H34" s="159" t="n"/>
      <c r="I34" s="158" t="n"/>
    </row>
    <row r="35" ht="35.15" customHeight="1">
      <c r="A35" s="164" t="inlineStr">
        <is>
          <t>作者</t>
        </is>
      </c>
      <c r="B35" s="164" t="inlineStr">
        <is>
          <t>罗映荣</t>
        </is>
      </c>
      <c r="C35" s="158" t="n"/>
      <c r="D35" s="164" t="inlineStr">
        <is>
          <t>审核</t>
        </is>
      </c>
      <c r="E35" s="164" t="inlineStr">
        <is>
          <t>崔之文</t>
        </is>
      </c>
      <c r="F35" s="158" t="n"/>
      <c r="G35" s="164" t="inlineStr">
        <is>
          <t>批准</t>
        </is>
      </c>
      <c r="H35" s="164" t="inlineStr">
        <is>
          <t>王东宏</t>
        </is>
      </c>
      <c r="I35" s="158" t="n"/>
    </row>
    <row r="36" ht="35.15" customHeight="1">
      <c r="A36" s="164" t="inlineStr">
        <is>
          <t>角色</t>
        </is>
      </c>
      <c r="B36" s="164" t="inlineStr">
        <is>
          <t>安全员</t>
        </is>
      </c>
      <c r="C36" s="158" t="n"/>
      <c r="D36" s="164" t="inlineStr">
        <is>
          <t>角色</t>
        </is>
      </c>
      <c r="E36" s="164" t="inlineStr">
        <is>
          <t>安全经理</t>
        </is>
      </c>
      <c r="F36" s="158" t="n"/>
      <c r="G36" s="164" t="inlineStr">
        <is>
          <t>角色</t>
        </is>
      </c>
      <c r="H36" s="164" t="inlineStr">
        <is>
          <t>项目总监</t>
        </is>
      </c>
      <c r="I36" s="158" t="n"/>
    </row>
    <row r="37" ht="35.15" customHeight="1">
      <c r="A37" s="164" t="inlineStr">
        <is>
          <t>日期</t>
        </is>
      </c>
      <c r="B37" s="156" t="n">
        <v>45920</v>
      </c>
      <c r="C37" s="158" t="n"/>
      <c r="D37" s="164" t="inlineStr">
        <is>
          <t>日期</t>
        </is>
      </c>
      <c r="E37" s="156" t="n">
        <v>45939</v>
      </c>
      <c r="F37" s="158" t="n"/>
      <c r="G37" s="164" t="inlineStr">
        <is>
          <t>日期</t>
        </is>
      </c>
      <c r="H37" s="156" t="n">
        <v>45945</v>
      </c>
      <c r="I37" s="158" t="n"/>
    </row>
    <row r="44" ht="38.25" customHeight="1">
      <c r="A44" s="157" t="inlineStr">
        <is>
          <t>备注：版权属芜湖安瑞光电有限公司所有，本文档内容属商业机密。未经允许，任何组织或个人不得以任何形式复制和传播。</t>
        </is>
      </c>
      <c r="B44" s="162" t="n"/>
      <c r="C44" s="162" t="n"/>
      <c r="D44" s="162" t="n"/>
      <c r="E44" s="162" t="n"/>
      <c r="F44" s="162" t="n"/>
      <c r="G44" s="162" t="n"/>
      <c r="H44" s="162" t="n"/>
      <c r="I44" s="162" t="n"/>
    </row>
  </sheetData>
  <mergeCells count="18">
    <mergeCell ref="E34:F34"/>
    <mergeCell ref="E35:F35"/>
    <mergeCell ref="H35:I35"/>
    <mergeCell ref="A2:B2"/>
    <mergeCell ref="B37:C37"/>
    <mergeCell ref="C1:G1"/>
    <mergeCell ref="H1:I1"/>
    <mergeCell ref="A44:I44"/>
    <mergeCell ref="B36:C36"/>
    <mergeCell ref="E37:F37"/>
    <mergeCell ref="E36:F36"/>
    <mergeCell ref="G34:I34"/>
    <mergeCell ref="A1:B1"/>
    <mergeCell ref="H36:I36"/>
    <mergeCell ref="H37:I37"/>
    <mergeCell ref="B35:C35"/>
    <mergeCell ref="A3:I33"/>
    <mergeCell ref="B34:D34"/>
  </mergeCells>
  <pageMargins left="0.7086614173228351" right="0.47244094488189" top="0.590551181102362" bottom="0.590551181102362" header="0.31496062992126" footer="0.31496062992126"/>
  <pageSetup orientation="portrait" paperSize="9" scale="94"/>
</worksheet>
</file>

<file path=xl/worksheets/sheet2.xml><?xml version="1.0" encoding="utf-8"?>
<worksheet xmlns="http://schemas.openxmlformats.org/spreadsheetml/2006/main">
  <sheetPr>
    <outlinePr summaryBelow="1" summaryRight="1"/>
    <pageSetUpPr fitToPage="1"/>
  </sheetPr>
  <dimension ref="A1:G37"/>
  <sheetViews>
    <sheetView showGridLines="0" view="pageBreakPreview" zoomScaleNormal="100" workbookViewId="0">
      <selection activeCell="F5" sqref="F5"/>
    </sheetView>
  </sheetViews>
  <sheetFormatPr baseColWidth="8" defaultColWidth="6.66666666666667" defaultRowHeight="14.5"/>
  <cols>
    <col width="8.08333333333333" customWidth="1" style="2" min="1" max="1"/>
    <col width="9.33333333333333" customWidth="1" style="2" min="2" max="3"/>
    <col width="12.4166666666667" customWidth="1" style="2" min="4" max="4"/>
    <col width="10.8333333333333" customWidth="1" style="2" min="5" max="5"/>
    <col width="11.9166666666667" customWidth="1" style="2" min="6" max="6"/>
    <col width="30.8333333333333" customWidth="1" style="2" min="7" max="7"/>
    <col width="6.66666666666667" customWidth="1" style="2" min="8" max="16384"/>
  </cols>
  <sheetData>
    <row r="1" ht="25.25" customHeight="1">
      <c r="A1" s="4" t="inlineStr">
        <is>
          <t>变更履历 / Change History</t>
        </is>
      </c>
    </row>
    <row r="2" ht="25.25" customFormat="1" customHeight="1" s="1">
      <c r="A2" s="163" t="n"/>
      <c r="B2" s="163" t="n"/>
      <c r="C2" s="163" t="n"/>
      <c r="D2" s="163" t="n"/>
      <c r="E2" s="163" t="n"/>
      <c r="F2" s="163" t="n"/>
      <c r="G2" s="163" t="n"/>
    </row>
    <row r="3" ht="49" customFormat="1" customHeight="1" s="1">
      <c r="A3" s="5" t="inlineStr">
        <is>
          <t>版本Version</t>
        </is>
      </c>
      <c r="B3" s="5" t="inlineStr">
        <is>
          <t>状态
Status</t>
        </is>
      </c>
      <c r="C3" s="5" t="inlineStr">
        <is>
          <t>编制人Author</t>
        </is>
      </c>
      <c r="D3" s="5" t="inlineStr">
        <is>
          <t>编制日期
Date</t>
        </is>
      </c>
      <c r="E3" s="5" t="inlineStr">
        <is>
          <t>批准人Approver</t>
        </is>
      </c>
      <c r="F3" s="5" t="inlineStr">
        <is>
          <t>批准日期Approve Date</t>
        </is>
      </c>
      <c r="G3" s="5" t="inlineStr">
        <is>
          <t>内容描述
Description</t>
        </is>
      </c>
    </row>
    <row r="4" ht="24.65" customHeight="1">
      <c r="A4" s="6" t="inlineStr">
        <is>
          <t>V1.0</t>
        </is>
      </c>
      <c r="B4" s="7" t="inlineStr">
        <is>
          <t>Released</t>
        </is>
      </c>
      <c r="C4" s="141" t="inlineStr">
        <is>
          <t>罗映荣</t>
        </is>
      </c>
      <c r="D4" s="8">
        <f>封面!B37</f>
        <v/>
      </c>
      <c r="E4" s="6" t="inlineStr">
        <is>
          <t>崔之文</t>
        </is>
      </c>
      <c r="F4" s="8">
        <f>封面!E37</f>
        <v/>
      </c>
      <c r="G4" s="9" t="inlineStr">
        <is>
          <t>首次编制</t>
        </is>
      </c>
    </row>
    <row r="5" ht="25.25" customHeight="1">
      <c r="A5" s="7" t="n"/>
      <c r="B5" s="7" t="n"/>
      <c r="C5" s="7" t="n"/>
      <c r="D5" s="7" t="n"/>
      <c r="E5" s="7" t="n"/>
      <c r="F5" s="7" t="n"/>
      <c r="G5" s="7" t="n"/>
    </row>
    <row r="6" ht="25.25" customHeight="1">
      <c r="A6" s="7" t="n"/>
      <c r="B6" s="7" t="n"/>
      <c r="C6" s="7" t="n"/>
      <c r="D6" s="7" t="n"/>
      <c r="E6" s="7" t="n"/>
      <c r="F6" s="7" t="n"/>
      <c r="G6" s="7" t="n"/>
    </row>
    <row r="7" ht="25.25" customHeight="1">
      <c r="A7" s="7" t="n"/>
      <c r="B7" s="7" t="n"/>
      <c r="C7" s="7" t="n"/>
      <c r="D7" s="7" t="n"/>
      <c r="E7" s="7" t="n"/>
      <c r="F7" s="7" t="n"/>
      <c r="G7" s="7" t="n"/>
    </row>
    <row r="8" ht="25.25" customHeight="1">
      <c r="A8" s="7" t="n"/>
      <c r="B8" s="7" t="n"/>
      <c r="C8" s="7" t="n"/>
      <c r="D8" s="7" t="n"/>
      <c r="E8" s="7" t="n"/>
      <c r="F8" s="7" t="n"/>
      <c r="G8" s="7" t="n"/>
    </row>
    <row r="9" ht="25.25" customHeight="1">
      <c r="A9" s="7" t="n"/>
      <c r="B9" s="7" t="n"/>
      <c r="C9" s="7" t="n"/>
      <c r="D9" s="7" t="n"/>
      <c r="E9" s="7" t="n"/>
      <c r="F9" s="7" t="n"/>
      <c r="G9" s="7" t="n"/>
    </row>
    <row r="10" ht="25.25" customHeight="1">
      <c r="A10" s="7" t="n"/>
      <c r="B10" s="7" t="n"/>
      <c r="C10" s="7" t="n"/>
      <c r="D10" s="7" t="n"/>
      <c r="E10" s="7" t="n"/>
      <c r="F10" s="7" t="n"/>
      <c r="G10" s="7" t="n"/>
    </row>
    <row r="11" ht="25.25" customHeight="1">
      <c r="A11" s="7" t="n"/>
      <c r="B11" s="7" t="n"/>
      <c r="C11" s="7" t="n"/>
      <c r="D11" s="7" t="n"/>
      <c r="E11" s="7" t="n"/>
      <c r="F11" s="7" t="n"/>
      <c r="G11" s="7" t="n"/>
    </row>
    <row r="12" ht="25.25" customHeight="1">
      <c r="A12" s="7" t="n"/>
      <c r="B12" s="7" t="n"/>
      <c r="C12" s="7" t="n"/>
      <c r="D12" s="7" t="n"/>
      <c r="E12" s="7" t="n"/>
      <c r="F12" s="7" t="n"/>
      <c r="G12" s="7" t="n"/>
    </row>
    <row r="13" ht="25.25" customHeight="1">
      <c r="A13" s="7" t="n"/>
      <c r="B13" s="7" t="n"/>
      <c r="C13" s="7" t="n"/>
      <c r="D13" s="7" t="n"/>
      <c r="E13" s="7" t="n"/>
      <c r="F13" s="7" t="n"/>
      <c r="G13" s="7" t="n"/>
    </row>
    <row r="14" ht="25.25" customHeight="1">
      <c r="A14" s="7" t="n"/>
      <c r="B14" s="7" t="n"/>
      <c r="C14" s="7" t="n"/>
      <c r="D14" s="7" t="n"/>
      <c r="E14" s="7" t="n"/>
      <c r="F14" s="7" t="n"/>
      <c r="G14" s="7" t="n"/>
    </row>
    <row r="15" ht="25.25" customHeight="1">
      <c r="A15" s="7" t="n"/>
      <c r="B15" s="7" t="n"/>
      <c r="C15" s="7" t="n"/>
      <c r="D15" s="7" t="n"/>
      <c r="E15" s="7" t="n"/>
      <c r="F15" s="7" t="n"/>
      <c r="G15" s="7" t="n"/>
    </row>
    <row r="16" ht="25.25" customHeight="1">
      <c r="A16" s="7" t="n"/>
      <c r="B16" s="7" t="n"/>
      <c r="C16" s="7" t="n"/>
      <c r="D16" s="10" t="n"/>
      <c r="E16" s="7" t="n"/>
      <c r="F16" s="7" t="n"/>
      <c r="G16" s="11" t="n"/>
    </row>
    <row r="17" ht="25.25" customHeight="1">
      <c r="A17" s="7" t="n"/>
      <c r="B17" s="7" t="n"/>
      <c r="C17" s="7" t="n"/>
      <c r="D17" s="7" t="n"/>
      <c r="E17" s="7" t="n"/>
      <c r="F17" s="7" t="n"/>
      <c r="G17" s="7" t="n"/>
    </row>
    <row r="18" ht="25.25" customHeight="1">
      <c r="A18" s="7" t="n"/>
      <c r="B18" s="7" t="n"/>
      <c r="C18" s="7" t="n"/>
      <c r="D18" s="7" t="n"/>
      <c r="E18" s="7" t="n"/>
      <c r="F18" s="7" t="n"/>
      <c r="G18" s="7" t="n"/>
    </row>
    <row r="19" ht="25.25" customHeight="1">
      <c r="A19" s="7" t="n"/>
      <c r="B19" s="7" t="n"/>
      <c r="C19" s="7" t="n"/>
      <c r="D19" s="7" t="n"/>
      <c r="E19" s="7" t="n"/>
      <c r="F19" s="7" t="n"/>
      <c r="G19" s="7" t="n"/>
    </row>
    <row r="20" ht="25.25" customHeight="1">
      <c r="A20" s="7" t="n"/>
      <c r="B20" s="7" t="n"/>
      <c r="C20" s="7" t="n"/>
      <c r="D20" s="7" t="n"/>
      <c r="E20" s="7" t="n"/>
      <c r="F20" s="7" t="n"/>
      <c r="G20" s="7" t="n"/>
    </row>
    <row r="21" ht="24.65" customHeight="1">
      <c r="A21" s="7" t="n"/>
      <c r="B21" s="7" t="n"/>
      <c r="C21" s="7" t="n"/>
      <c r="D21" s="10" t="n"/>
      <c r="E21" s="7" t="n"/>
      <c r="F21" s="7" t="n"/>
      <c r="G21" s="11" t="n"/>
    </row>
    <row r="22" ht="25.25" customHeight="1">
      <c r="A22" s="7" t="n"/>
      <c r="B22" s="7" t="n"/>
      <c r="C22" s="7" t="n"/>
      <c r="D22" s="7" t="n"/>
      <c r="E22" s="7" t="n"/>
      <c r="F22" s="7" t="n"/>
      <c r="G22" s="7" t="n"/>
    </row>
    <row r="23" ht="25.25" customHeight="1">
      <c r="A23" s="7" t="n"/>
      <c r="B23" s="7" t="n"/>
      <c r="C23" s="7" t="n"/>
      <c r="D23" s="7" t="n"/>
      <c r="E23" s="7" t="n"/>
      <c r="F23" s="7" t="n"/>
      <c r="G23" s="7" t="n"/>
    </row>
    <row r="24" ht="25.25" customHeight="1">
      <c r="A24" s="7" t="n"/>
      <c r="B24" s="7" t="n"/>
      <c r="C24" s="7" t="n"/>
      <c r="D24" s="7" t="n"/>
      <c r="E24" s="7" t="n"/>
      <c r="F24" s="7" t="n"/>
      <c r="G24" s="7" t="n"/>
    </row>
    <row r="25" ht="25.25" customHeight="1">
      <c r="A25" s="7" t="n"/>
      <c r="B25" s="7" t="n"/>
      <c r="C25" s="7" t="n"/>
      <c r="D25" s="7" t="n"/>
      <c r="E25" s="7" t="n"/>
      <c r="F25" s="7" t="n"/>
      <c r="G25" s="7" t="n"/>
    </row>
    <row r="26" ht="25.25" customHeight="1">
      <c r="A26" s="7" t="n"/>
      <c r="B26" s="7" t="n"/>
      <c r="C26" s="7" t="n"/>
      <c r="D26" s="7" t="n"/>
      <c r="E26" s="7" t="n"/>
      <c r="F26" s="7" t="n"/>
      <c r="G26" s="7" t="n"/>
    </row>
    <row r="27" ht="25.25" customHeight="1">
      <c r="A27" s="7" t="n"/>
      <c r="B27" s="7" t="n"/>
      <c r="C27" s="7" t="n"/>
      <c r="D27" s="7" t="n"/>
      <c r="E27" s="7" t="n"/>
      <c r="F27" s="7" t="n"/>
      <c r="G27" s="7" t="n"/>
    </row>
    <row r="28" ht="25.25" customHeight="1">
      <c r="A28" s="7" t="n"/>
      <c r="B28" s="7" t="n"/>
      <c r="C28" s="7" t="n"/>
      <c r="D28" s="10" t="n"/>
      <c r="E28" s="7" t="n"/>
      <c r="F28" s="7" t="n"/>
      <c r="G28" s="11" t="n"/>
    </row>
    <row r="29" ht="25.25" customHeight="1">
      <c r="A29" s="7" t="n"/>
      <c r="B29" s="7" t="n"/>
      <c r="C29" s="7" t="n"/>
      <c r="D29" s="7" t="n"/>
      <c r="E29" s="7" t="n"/>
      <c r="F29" s="7" t="n"/>
      <c r="G29" s="7" t="n"/>
    </row>
    <row r="30" ht="25.25" customHeight="1">
      <c r="A30" s="7" t="n"/>
      <c r="B30" s="7" t="n"/>
      <c r="C30" s="7" t="n"/>
      <c r="D30" s="7" t="n"/>
      <c r="E30" s="7" t="n"/>
      <c r="F30" s="7" t="n"/>
      <c r="G30" s="7" t="n"/>
    </row>
    <row r="31" ht="25.25" customHeight="1">
      <c r="A31" s="7" t="n"/>
      <c r="B31" s="7" t="n"/>
      <c r="C31" s="7" t="n"/>
      <c r="D31" s="7" t="n"/>
      <c r="E31" s="7" t="n"/>
      <c r="F31" s="7" t="n"/>
      <c r="G31" s="7" t="n"/>
    </row>
    <row r="32" ht="25.25" customHeight="1">
      <c r="A32" s="7" t="n"/>
      <c r="B32" s="7" t="n"/>
      <c r="C32" s="7" t="n"/>
      <c r="D32" s="7" t="n"/>
      <c r="E32" s="7" t="n"/>
      <c r="F32" s="7" t="n"/>
      <c r="G32" s="7" t="n"/>
    </row>
    <row r="33" ht="25.25" customHeight="1">
      <c r="A33" s="7" t="n"/>
      <c r="B33" s="7" t="n"/>
      <c r="C33" s="7" t="n"/>
      <c r="D33" s="7" t="n"/>
      <c r="E33" s="7" t="n"/>
      <c r="F33" s="7" t="n"/>
      <c r="G33" s="7" t="n"/>
    </row>
    <row r="34" ht="25.25" customHeight="1">
      <c r="A34" s="7" t="n"/>
      <c r="B34" s="7" t="n"/>
      <c r="C34" s="7" t="n"/>
      <c r="D34" s="7" t="n"/>
      <c r="E34" s="7" t="n"/>
      <c r="F34" s="7" t="n"/>
      <c r="G34" s="7" t="n"/>
    </row>
    <row r="35" ht="25.25" customHeight="1">
      <c r="A35" s="7" t="n"/>
      <c r="B35" s="7" t="n"/>
      <c r="C35" s="7" t="n"/>
      <c r="D35" s="7" t="n"/>
      <c r="E35" s="7" t="n"/>
      <c r="F35" s="7" t="n"/>
      <c r="G35" s="7" t="n"/>
    </row>
    <row r="36" ht="25.25" customHeight="1">
      <c r="A36" s="7" t="n"/>
      <c r="B36" s="7" t="n"/>
      <c r="C36" s="7" t="n"/>
      <c r="D36" s="7" t="n"/>
      <c r="E36" s="7" t="n"/>
      <c r="F36" s="7" t="n"/>
      <c r="G36" s="7" t="n"/>
    </row>
    <row r="37" ht="25.25" customHeight="1">
      <c r="A37" s="7" t="n"/>
      <c r="B37" s="7" t="n"/>
      <c r="C37" s="7" t="n"/>
      <c r="D37" s="7" t="n"/>
      <c r="E37" s="7" t="n"/>
      <c r="F37" s="7" t="n"/>
      <c r="G37" s="7" t="n"/>
    </row>
  </sheetData>
  <mergeCells count="1">
    <mergeCell ref="A1:G2"/>
  </mergeCells>
  <dataValidations count="2">
    <dataValidation sqref="B4" showDropDown="0" showInputMessage="1" showErrorMessage="1" allowBlank="1" type="list">
      <formula1>"Draft,Released"</formula1>
    </dataValidation>
    <dataValidation sqref="IQ2:IQ3 SM2:SM3 ACI2:ACI3 AME2:AME3 AWA2:AWA3 BFW2:BFW3 BPS2:BPS3 BZO2:BZO3 CJK2:CJK3 CTG2:CTG3 DDC2:DDC3 DMY2:DMY3 DWU2:DWU3 EGQ2:EGQ3 EQM2:EQM3 FAI2:FAI3 FKE2:FKE3 FUA2:FUA3 GDW2:GDW3 GNS2:GNS3 GXO2:GXO3 HHK2:HHK3 HRG2:HRG3 IBC2:IBC3 IKY2:IKY3 IUU2:IUU3 JEQ2:JEQ3 JOM2:JOM3 JYI2:JYI3 KIE2:KIE3 KSA2:KSA3 LBW2:LBW3 LLS2:LLS3 LVO2:LVO3 MFK2:MFK3 MPG2:MPG3 MZC2:MZC3 NIY2:NIY3 NSU2:NSU3 OCQ2:OCQ3 OMM2:OMM3 OWI2:OWI3 PGE2:PGE3 PQA2:PQA3 PZW2:PZW3 QJS2:QJS3 QTO2:QTO3 RDK2:RDK3 RNG2:RNG3 RXC2:RXC3 SGY2:SGY3 SQU2:SQU3 TAQ2:TAQ3 TKM2:TKM3 TUI2:TUI3 UEE2:UEE3 UOA2:UOA3 UXW2:UXW3 VHS2:VHS3 VRO2:VRO3 WBK2:WBK3 WLG2:WLG3 WVC2:WVC3" showDropDown="0" showInputMessage="1" showErrorMessage="1" allowBlank="1" type="list">
      <formula1>"Open,Close"</formula1>
    </dataValidation>
  </dataValidations>
  <pageMargins left="0.7086614173228351" right="0.47244094488189" top="0.590551181102362" bottom="0.590551181102362" header="0.31496062992126" footer="0.31496062992126"/>
  <pageSetup orientation="portrait" paperSize="9" scale="89" fitToHeight="0" cellComments="asDisplayed" horizontalDpi="1200" verticalDpi="1200"/>
  <headerFooter>
    <oddHeader>&amp;L&amp;G</oddHeader>
    <oddFooter>&amp;C第 &amp;P 页，共 &amp;N 页</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E28"/>
  <sheetViews>
    <sheetView showGridLines="0" zoomScale="85" zoomScaleNormal="85" workbookViewId="0">
      <selection activeCell="N14" sqref="N14"/>
    </sheetView>
  </sheetViews>
  <sheetFormatPr baseColWidth="8" defaultColWidth="9" defaultRowHeight="14.5"/>
  <cols>
    <col width="10.9166666666667" customWidth="1" style="127" min="1" max="1"/>
    <col width="6" customWidth="1" style="127" min="2" max="2"/>
    <col width="39" customWidth="1" style="127" min="3" max="3"/>
    <col width="23.4166666666667" customWidth="1" style="127" min="4" max="4"/>
    <col width="10.6666666666667" customWidth="1" style="127" min="5" max="5"/>
    <col width="9" customWidth="1" style="127" min="6" max="16384"/>
  </cols>
  <sheetData>
    <row r="1" ht="25" customFormat="1" customHeight="1" s="126">
      <c r="A1" s="128" t="inlineStr">
        <is>
          <t>1 文档目的 / Document Purpose</t>
        </is>
      </c>
    </row>
    <row r="2" ht="25" customHeight="1">
      <c r="B2" s="165" t="inlineStr">
        <is>
          <t xml:space="preserve">This document aims at:
a)  provide evidence for the suitability of the software to provide the specified safety-related functions and properties as required by the respective ASIL;
b)  identify or confirm the safety-related parts of the software; and
c)  support the specification and verify the effectiveness of the safety measures.
</t>
        </is>
      </c>
      <c r="C2" s="162" t="n"/>
      <c r="D2" s="162" t="n"/>
      <c r="E2" s="166" t="n"/>
    </row>
    <row r="3" ht="25" customHeight="1">
      <c r="B3" s="167" t="n"/>
      <c r="E3" s="168" t="n"/>
    </row>
    <row r="4" ht="25" customHeight="1">
      <c r="B4" s="167" t="n"/>
      <c r="E4" s="168" t="n"/>
    </row>
    <row r="5" ht="25" customHeight="1">
      <c r="B5" s="167" t="n"/>
      <c r="E5" s="168" t="n"/>
    </row>
    <row r="6" ht="25" customHeight="1">
      <c r="B6" s="169" t="n"/>
      <c r="C6" s="163" t="n"/>
      <c r="D6" s="163" t="n"/>
      <c r="E6" s="170" t="n"/>
    </row>
    <row r="7" ht="25" customHeight="1"/>
    <row r="8" ht="25" customFormat="1" customHeight="1" s="126">
      <c r="A8" s="128" t="inlineStr">
        <is>
          <t>2 输入文档 / Input</t>
        </is>
      </c>
    </row>
    <row r="9" ht="25" customHeight="1">
      <c r="B9" s="138" t="inlineStr">
        <is>
          <t>序号</t>
        </is>
      </c>
      <c r="C9" s="138" t="inlineStr">
        <is>
          <t>文档名称</t>
        </is>
      </c>
      <c r="D9" s="138" t="inlineStr">
        <is>
          <t>文档版本</t>
        </is>
      </c>
      <c r="E9" s="138" t="inlineStr">
        <is>
          <t>文档日期</t>
        </is>
      </c>
    </row>
    <row r="10" ht="25" customHeight="1">
      <c r="B10" s="138" t="inlineStr">
        <is>
          <t>No.</t>
        </is>
      </c>
      <c r="C10" s="138" t="inlineStr">
        <is>
          <t>Document Name</t>
        </is>
      </c>
      <c r="D10" s="138" t="inlineStr">
        <is>
          <t>Version</t>
        </is>
      </c>
      <c r="E10" s="138" t="inlineStr">
        <is>
          <t>Date</t>
        </is>
      </c>
    </row>
    <row r="11" ht="25" customHeight="1">
      <c r="B11" s="139" t="n">
        <v>1</v>
      </c>
      <c r="C11" s="140" t="inlineStr">
        <is>
          <t>C255-10后组合灯软件架构设计规范</t>
        </is>
      </c>
      <c r="D11" s="140" t="inlineStr">
        <is>
          <t>V1.2</t>
        </is>
      </c>
      <c r="E11" s="140" t="n"/>
    </row>
    <row r="12" ht="25" customHeight="1"/>
    <row r="13" ht="25" customFormat="1" customHeight="1" s="126">
      <c r="A13" s="128" t="inlineStr">
        <is>
          <t>3 参考文档 / reference</t>
        </is>
      </c>
    </row>
    <row r="14" ht="25" customHeight="1">
      <c r="B14" s="138" t="inlineStr">
        <is>
          <t>序号</t>
        </is>
      </c>
      <c r="C14" s="138" t="inlineStr">
        <is>
          <t>文档名称</t>
        </is>
      </c>
      <c r="D14" s="138" t="inlineStr">
        <is>
          <t>文档版本</t>
        </is>
      </c>
      <c r="E14" s="138" t="inlineStr">
        <is>
          <t>文档日期</t>
        </is>
      </c>
    </row>
    <row r="15" ht="25" customHeight="1">
      <c r="B15" s="138" t="inlineStr">
        <is>
          <t>No.</t>
        </is>
      </c>
      <c r="C15" s="138" t="inlineStr">
        <is>
          <t>Document Name</t>
        </is>
      </c>
      <c r="D15" s="138" t="inlineStr">
        <is>
          <t>Version</t>
        </is>
      </c>
      <c r="E15" s="138" t="inlineStr">
        <is>
          <t>Date</t>
        </is>
      </c>
    </row>
    <row r="16" ht="25" customHeight="1">
      <c r="B16" s="139" t="n">
        <v>1</v>
      </c>
      <c r="C16" s="140" t="inlineStr">
        <is>
          <t>ISO26262-2018</t>
        </is>
      </c>
      <c r="D16" s="140" t="n"/>
      <c r="E16" s="140" t="n"/>
    </row>
    <row r="17" ht="25" customHeight="1"/>
    <row r="18" ht="25" customFormat="1" customHeight="1" s="126">
      <c r="A18" s="128" t="inlineStr">
        <is>
          <t>4 术语和缩写</t>
        </is>
      </c>
    </row>
    <row r="19" ht="25" customHeight="1">
      <c r="B19" s="138" t="inlineStr">
        <is>
          <t>序号</t>
        </is>
      </c>
      <c r="C19" s="138" t="inlineStr">
        <is>
          <t>术语/缩略语</t>
        </is>
      </c>
      <c r="D19" s="138" t="inlineStr">
        <is>
          <t>描述</t>
        </is>
      </c>
    </row>
    <row r="20" ht="25" customHeight="1">
      <c r="B20" s="138" t="inlineStr">
        <is>
          <t>No.</t>
        </is>
      </c>
      <c r="C20" s="138" t="inlineStr">
        <is>
          <t>Terms and Abbreviation</t>
        </is>
      </c>
      <c r="D20" s="138" t="inlineStr">
        <is>
          <t>description</t>
        </is>
      </c>
    </row>
    <row r="21" ht="25" customHeight="1">
      <c r="B21" s="140" t="n">
        <v>1</v>
      </c>
      <c r="C21" s="140" t="inlineStr">
        <is>
          <t>DFA</t>
        </is>
      </c>
      <c r="D21" s="140" t="inlineStr">
        <is>
          <t>Dependent Failure Analysis，依存失效分析</t>
        </is>
      </c>
    </row>
    <row r="22">
      <c r="B22" t="n">
        <v>2</v>
      </c>
      <c r="C22" t="inlineStr">
        <is>
          <t>FFI</t>
        </is>
      </c>
      <c r="D22" t="inlineStr">
        <is>
          <t>Freedom From Interference，免于干扰</t>
        </is>
      </c>
    </row>
    <row r="23">
      <c r="B23" t="n">
        <v>3</v>
      </c>
      <c r="C23" t="inlineStr">
        <is>
          <t>CCF</t>
        </is>
      </c>
      <c r="D23" t="inlineStr">
        <is>
          <t>Common Cause Failure，共因失效</t>
        </is>
      </c>
    </row>
    <row r="24">
      <c r="B24" t="n">
        <v>4</v>
      </c>
      <c r="C24" t="inlineStr">
        <is>
          <t>CF</t>
        </is>
      </c>
      <c r="D24" t="inlineStr">
        <is>
          <t>Cascading Failure，级联失效</t>
        </is>
      </c>
    </row>
    <row r="25">
      <c r="B25" t="n">
        <v>5</v>
      </c>
      <c r="C25" t="inlineStr">
        <is>
          <t>ASIL</t>
        </is>
      </c>
      <c r="D25" t="inlineStr">
        <is>
          <t>Automotive Safety Integrity Level，汽车安全完整性等级</t>
        </is>
      </c>
    </row>
    <row r="26">
      <c r="B26" t="n">
        <v>6</v>
      </c>
      <c r="C26" t="inlineStr">
        <is>
          <t>SWC</t>
        </is>
      </c>
      <c r="D26" t="inlineStr">
        <is>
          <t>Software Component，软件组件</t>
        </is>
      </c>
    </row>
    <row r="27">
      <c r="B27" t="n">
        <v>7</v>
      </c>
      <c r="C27" t="inlineStr">
        <is>
          <t>SG</t>
        </is>
      </c>
      <c r="D27" t="inlineStr">
        <is>
          <t>Safety Goal，安全目标</t>
        </is>
      </c>
    </row>
    <row r="28">
      <c r="B28" t="n">
        <v>8</v>
      </c>
      <c r="C28" t="inlineStr">
        <is>
          <t>BCC</t>
        </is>
      </c>
      <c r="D28" t="inlineStr">
        <is>
          <t>Byte Counter Check，字节计数校验(E2E)</t>
        </is>
      </c>
    </row>
  </sheetData>
  <mergeCells count="1">
    <mergeCell ref="B2:E6"/>
  </mergeCells>
  <pageMargins left="0.7086614173228351" right="0.47244094488189" top="0.590551181102362" bottom="0.590551181102362" header="0.31496062992126" footer="0.31496062992126"/>
  <pageSetup orientation="portrait" paperSize="9" scale="92"/>
  <headerFooter>
    <oddHeader>&amp;L&amp;G</oddHeader>
    <oddFooter>&amp;C第 &amp;P 页，共 &amp;N 页</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F30"/>
  <sheetViews>
    <sheetView topLeftCell="A5" workbookViewId="0">
      <selection activeCell="I8" sqref="I8"/>
    </sheetView>
  </sheetViews>
  <sheetFormatPr baseColWidth="8" defaultColWidth="8.83333333333333" defaultRowHeight="12.5"/>
  <cols>
    <col width="8.83333333333333" customWidth="1" style="107" min="1" max="1"/>
    <col width="11.9166666666667" customWidth="1" style="107" min="2" max="2"/>
    <col width="16.5" customWidth="1" style="107" min="3" max="3"/>
    <col width="8.66666666666667" customWidth="1" style="107" min="4" max="4"/>
    <col width="8.83333333333333" customWidth="1" style="107" min="5" max="5"/>
    <col width="32.5833333333333" customWidth="1" style="107" min="6" max="6"/>
    <col width="8.83333333333333" customWidth="1" style="107" min="7" max="16384"/>
  </cols>
  <sheetData>
    <row r="1" ht="17.25" customHeight="1">
      <c r="A1" s="108" t="inlineStr">
        <is>
          <t>软件架构图和分析范围（也可引用软件架构设计规范）</t>
        </is>
      </c>
      <c r="B1" s="171" t="n"/>
      <c r="C1" s="171" t="n"/>
    </row>
    <row r="2" ht="14" customHeight="1">
      <c r="A2" s="110" t="inlineStr">
        <is>
          <t>虚线框内，为本分析的范围。</t>
        </is>
      </c>
      <c r="B2" s="172" t="n"/>
      <c r="C2" s="172" t="n"/>
    </row>
    <row r="3" ht="14" customHeight="1">
      <c r="A3" s="112" t="n"/>
      <c r="B3" s="113" t="n"/>
      <c r="C3" s="113" t="n"/>
    </row>
    <row r="4" ht="14" customHeight="1">
      <c r="A4" s="112" t="n"/>
      <c r="B4" s="113" t="n"/>
      <c r="C4" s="113" t="n"/>
    </row>
    <row r="5" ht="277.5" customHeight="1">
      <c r="A5" s="112" t="n"/>
      <c r="B5" s="113" t="n"/>
      <c r="C5" s="113" t="n"/>
    </row>
    <row r="6" ht="13.25" customHeight="1">
      <c r="A6" s="114" t="inlineStr">
        <is>
          <t>Layer</t>
        </is>
      </c>
      <c r="B6" s="114" t="inlineStr">
        <is>
          <t>Component ID</t>
        </is>
      </c>
      <c r="C6" s="114" t="inlineStr">
        <is>
          <t>Component Name</t>
        </is>
      </c>
      <c r="D6" s="114" t="inlineStr">
        <is>
          <t>Period</t>
        </is>
      </c>
      <c r="E6" s="114" t="inlineStr">
        <is>
          <t>ASIL</t>
        </is>
      </c>
      <c r="F6" s="114" t="inlineStr">
        <is>
          <t>Component description</t>
        </is>
      </c>
    </row>
    <row r="7" ht="14.75" customHeight="1">
      <c r="A7" s="115" t="inlineStr">
        <is>
          <t>ASW</t>
        </is>
      </c>
      <c r="B7" s="116" t="inlineStr">
        <is>
          <t>SWC-1</t>
        </is>
      </c>
      <c r="C7" s="116" t="inlineStr">
        <is>
          <t>ECU_PosBreak</t>
        </is>
      </c>
      <c r="D7" s="116" t="inlineStr">
        <is>
          <t>1ms</t>
        </is>
      </c>
      <c r="E7" s="117" t="inlineStr">
        <is>
          <t>ASILB</t>
        </is>
      </c>
      <c r="F7" s="173" t="inlineStr">
        <is>
          <t>位置制动控制</t>
        </is>
      </c>
    </row>
    <row r="8" ht="14.25" customHeight="1">
      <c r="A8" s="174" t="n"/>
      <c r="B8" s="116" t="inlineStr">
        <is>
          <t>SWC-2</t>
        </is>
      </c>
      <c r="C8" s="116" t="inlineStr">
        <is>
          <t>ECU_TurnLight</t>
        </is>
      </c>
      <c r="D8" s="116" t="inlineStr">
        <is>
          <t>1ms</t>
        </is>
      </c>
      <c r="E8" s="117" t="inlineStr">
        <is>
          <t>ASILA</t>
        </is>
      </c>
      <c r="F8" s="175" t="inlineStr">
        <is>
          <t>转向灯控制</t>
        </is>
      </c>
    </row>
    <row r="9" ht="14.75" customHeight="1">
      <c r="A9" s="174" t="n"/>
      <c r="B9" s="116" t="inlineStr">
        <is>
          <t>SWC-3</t>
        </is>
      </c>
      <c r="C9" s="116" t="inlineStr">
        <is>
          <t>ECU_ReverseLight</t>
        </is>
      </c>
      <c r="D9" s="116" t="inlineStr">
        <is>
          <t>1ms</t>
        </is>
      </c>
      <c r="E9" s="117" t="inlineStr">
        <is>
          <t>ASILA</t>
        </is>
      </c>
      <c r="F9" s="176" t="inlineStr">
        <is>
          <t>倒车灯控制</t>
        </is>
      </c>
    </row>
    <row r="10" ht="14.25" customHeight="1">
      <c r="A10" s="174" t="n"/>
      <c r="B10" s="116" t="inlineStr">
        <is>
          <t>SWC-4</t>
        </is>
      </c>
      <c r="C10" s="116" t="inlineStr">
        <is>
          <t>ECU_LicenseLight</t>
        </is>
      </c>
      <c r="D10" s="116" t="inlineStr">
        <is>
          <t>1ms</t>
        </is>
      </c>
      <c r="E10" s="116" t="inlineStr">
        <is>
          <t>QM</t>
        </is>
      </c>
      <c r="F10" s="177" t="inlineStr">
        <is>
          <t>牌照灯控制</t>
        </is>
      </c>
    </row>
    <row r="11" ht="14.75" customHeight="1">
      <c r="A11" s="174" t="n"/>
      <c r="B11" s="116" t="inlineStr">
        <is>
          <t>SWC-5</t>
        </is>
      </c>
      <c r="C11" s="116" t="inlineStr">
        <is>
          <t>ECU_Voltage</t>
        </is>
      </c>
      <c r="D11" s="116" t="inlineStr">
        <is>
          <t>1ms</t>
        </is>
      </c>
      <c r="E11" s="117" t="inlineStr">
        <is>
          <t>ASILB</t>
        </is>
      </c>
      <c r="F11" s="178" t="inlineStr">
        <is>
          <t>电压管理</t>
        </is>
      </c>
    </row>
    <row r="12" ht="14.75" customHeight="1">
      <c r="A12" s="174" t="n"/>
      <c r="B12" s="116" t="inlineStr">
        <is>
          <t>SWC-6</t>
        </is>
      </c>
      <c r="C12" s="116" t="inlineStr">
        <is>
          <t>ECU_LampSignalDec</t>
        </is>
      </c>
      <c r="D12" s="116" t="inlineStr">
        <is>
          <t>1ms</t>
        </is>
      </c>
      <c r="E12" s="116" t="inlineStr">
        <is>
          <t>QM</t>
        </is>
      </c>
      <c r="F12" s="179" t="inlineStr">
        <is>
          <t>仪式感</t>
        </is>
      </c>
    </row>
    <row r="13" ht="14.75" customHeight="1">
      <c r="A13" s="174" t="n"/>
      <c r="B13" s="116" t="inlineStr">
        <is>
          <t>SWC-7</t>
        </is>
      </c>
      <c r="C13" s="116" t="inlineStr">
        <is>
          <t>BCC</t>
        </is>
      </c>
      <c r="D13" s="116" t="inlineStr">
        <is>
          <t>/</t>
        </is>
      </c>
      <c r="E13" s="117" t="inlineStr">
        <is>
          <t>ASILB</t>
        </is>
      </c>
      <c r="F13" s="180" t="inlineStr">
        <is>
          <t>E2E校验</t>
        </is>
      </c>
    </row>
    <row r="14" ht="14.75" customHeight="1">
      <c r="A14" s="174" t="n"/>
      <c r="B14" s="116" t="inlineStr">
        <is>
          <t>SWC-8</t>
        </is>
      </c>
      <c r="C14" s="116" t="inlineStr">
        <is>
          <t>LinkerTimeOut</t>
        </is>
      </c>
      <c r="D14" s="116" t="inlineStr">
        <is>
          <t>1ms</t>
        </is>
      </c>
      <c r="E14" s="117" t="inlineStr">
        <is>
          <t>ASILB</t>
        </is>
      </c>
      <c r="F14" s="180" t="inlineStr">
        <is>
          <t>报文在线监测</t>
        </is>
      </c>
    </row>
    <row r="15" ht="14.75" customHeight="1">
      <c r="A15" s="174" t="n"/>
      <c r="B15" s="116" t="inlineStr">
        <is>
          <t>SWC-9</t>
        </is>
      </c>
      <c r="C15" s="116" t="inlineStr">
        <is>
          <t>FailSafe</t>
        </is>
      </c>
      <c r="D15" s="116" t="inlineStr">
        <is>
          <t>1ms</t>
        </is>
      </c>
      <c r="E15" s="117" t="inlineStr">
        <is>
          <t>ASILB</t>
        </is>
      </c>
      <c r="F15" s="180" t="inlineStr">
        <is>
          <t>故障处理</t>
        </is>
      </c>
    </row>
    <row r="16" ht="14.75" customHeight="1">
      <c r="A16" s="174" t="n"/>
      <c r="B16" s="116" t="inlineStr">
        <is>
          <t>SWC-10</t>
        </is>
      </c>
      <c r="C16" s="116" t="inlineStr">
        <is>
          <t>NM_Management</t>
        </is>
      </c>
      <c r="D16" s="116" t="inlineStr">
        <is>
          <t>1ms</t>
        </is>
      </c>
      <c r="E16" s="116" t="inlineStr">
        <is>
          <t>QM</t>
        </is>
      </c>
      <c r="F16" s="179" t="inlineStr">
        <is>
          <t>网络管理</t>
        </is>
      </c>
    </row>
    <row r="17" ht="14.75" customHeight="1">
      <c r="A17" s="115" t="inlineStr">
        <is>
          <t>BSW</t>
        </is>
      </c>
      <c r="B17" s="116" t="inlineStr">
        <is>
          <t>SWC-11</t>
        </is>
      </c>
      <c r="C17" s="116" t="inlineStr">
        <is>
          <t>CANBusOffDeal</t>
        </is>
      </c>
      <c r="D17" s="116" t="inlineStr">
        <is>
          <t>1ms</t>
        </is>
      </c>
      <c r="E17" s="117" t="inlineStr">
        <is>
          <t>ASILB</t>
        </is>
      </c>
      <c r="F17" s="180" t="inlineStr">
        <is>
          <t>CAN BusOff时的快慢恢复机制</t>
        </is>
      </c>
    </row>
    <row r="18" ht="14.75" customHeight="1">
      <c r="A18" s="174" t="n"/>
      <c r="B18" s="116" t="inlineStr">
        <is>
          <t>SWC-12</t>
        </is>
      </c>
      <c r="C18" s="116" t="inlineStr">
        <is>
          <t>CANReceive</t>
        </is>
      </c>
      <c r="D18" s="116" t="inlineStr">
        <is>
          <t>/</t>
        </is>
      </c>
      <c r="E18" s="117" t="inlineStr">
        <is>
          <t>ASILB</t>
        </is>
      </c>
      <c r="F18" s="180" t="inlineStr">
        <is>
          <t>CAN信号接收</t>
        </is>
      </c>
    </row>
    <row r="19" ht="14.75" customHeight="1">
      <c r="A19" s="174" t="n"/>
      <c r="B19" s="116" t="inlineStr">
        <is>
          <t>SWC-13</t>
        </is>
      </c>
      <c r="C19" s="116" t="inlineStr">
        <is>
          <t>CANTrans</t>
        </is>
      </c>
      <c r="D19" s="116" t="inlineStr">
        <is>
          <t>20ms</t>
        </is>
      </c>
      <c r="E19" s="117" t="inlineStr">
        <is>
          <t>ASILB</t>
        </is>
      </c>
      <c r="F19" s="180" t="inlineStr">
        <is>
          <t>CAN信号发送</t>
        </is>
      </c>
    </row>
    <row r="20" ht="14.75" customHeight="1">
      <c r="A20" s="174" t="n"/>
      <c r="B20" s="116" t="inlineStr">
        <is>
          <t>SWC-14</t>
        </is>
      </c>
      <c r="C20" s="116" t="inlineStr">
        <is>
          <t>UDS Server</t>
        </is>
      </c>
      <c r="D20" s="116" t="inlineStr">
        <is>
          <t>1ms</t>
        </is>
      </c>
      <c r="E20" s="116" t="inlineStr">
        <is>
          <t>QM</t>
        </is>
      </c>
      <c r="F20" s="181" t="inlineStr">
        <is>
          <t>统一诊断服务</t>
        </is>
      </c>
    </row>
    <row r="21" ht="14.75" customHeight="1">
      <c r="A21" s="174" t="n"/>
      <c r="B21" s="116" t="inlineStr">
        <is>
          <t>SWC-15</t>
        </is>
      </c>
      <c r="C21" s="116" t="inlineStr">
        <is>
          <t>EepromDriver</t>
        </is>
      </c>
      <c r="D21" s="116" t="inlineStr">
        <is>
          <t>1ms</t>
        </is>
      </c>
      <c r="E21" s="117" t="inlineStr">
        <is>
          <t>ASILA</t>
        </is>
      </c>
      <c r="F21" s="180" t="inlineStr">
        <is>
          <t>外部eeprom驱动控制</t>
        </is>
      </c>
    </row>
    <row r="22" ht="14.75" customHeight="1">
      <c r="A22" s="174" t="n"/>
      <c r="B22" s="116" t="inlineStr">
        <is>
          <t>SWC-16</t>
        </is>
      </c>
      <c r="C22" s="116" t="inlineStr">
        <is>
          <t>DEM</t>
        </is>
      </c>
      <c r="D22" s="116" t="inlineStr">
        <is>
          <t>10ms</t>
        </is>
      </c>
      <c r="E22" s="117" t="inlineStr">
        <is>
          <t>ASILB</t>
        </is>
      </c>
      <c r="F22" s="180" t="inlineStr">
        <is>
          <t>故障诊断码管理</t>
        </is>
      </c>
    </row>
    <row r="23" ht="14.75" customHeight="1">
      <c r="A23" s="174" t="n"/>
      <c r="B23" s="116" t="inlineStr">
        <is>
          <t>SWC-17</t>
        </is>
      </c>
      <c r="C23" s="116" t="inlineStr">
        <is>
          <t>SysClk</t>
        </is>
      </c>
      <c r="D23" s="116" t="inlineStr">
        <is>
          <t>1ms</t>
        </is>
      </c>
      <c r="E23" s="117" t="inlineStr">
        <is>
          <t>ASILA</t>
        </is>
      </c>
      <c r="F23" s="180" t="inlineStr">
        <is>
          <t>系统时钟控制</t>
        </is>
      </c>
    </row>
    <row r="24" ht="14.75" customHeight="1">
      <c r="A24" s="174" t="n"/>
      <c r="B24" s="116" t="inlineStr">
        <is>
          <t>SWC-18</t>
        </is>
      </c>
      <c r="C24" s="116" t="inlineStr">
        <is>
          <t>SPI</t>
        </is>
      </c>
      <c r="D24" s="116" t="inlineStr">
        <is>
          <t>1ms</t>
        </is>
      </c>
      <c r="E24" s="117" t="inlineStr">
        <is>
          <t>ASILA</t>
        </is>
      </c>
      <c r="F24" s="180" t="inlineStr">
        <is>
          <t>SPI驱动控制</t>
        </is>
      </c>
    </row>
    <row r="25" ht="14.75" customHeight="1">
      <c r="A25" s="174" t="n"/>
      <c r="B25" s="116" t="inlineStr">
        <is>
          <t>SWC-19</t>
        </is>
      </c>
      <c r="C25" s="116" t="inlineStr">
        <is>
          <t>CAN</t>
        </is>
      </c>
      <c r="D25" s="116" t="inlineStr">
        <is>
          <t>1ms</t>
        </is>
      </c>
      <c r="E25" s="117" t="inlineStr">
        <is>
          <t>ASILB</t>
        </is>
      </c>
      <c r="F25" s="180" t="inlineStr">
        <is>
          <t>CAN驱动控制</t>
        </is>
      </c>
    </row>
    <row r="26" ht="14.75" customHeight="1">
      <c r="A26" s="174" t="n"/>
      <c r="B26" s="116" t="inlineStr">
        <is>
          <t>SWC-20</t>
        </is>
      </c>
      <c r="C26" s="116" t="inlineStr">
        <is>
          <t>ADC</t>
        </is>
      </c>
      <c r="D26" s="116" t="inlineStr">
        <is>
          <t>1ms</t>
        </is>
      </c>
      <c r="E26" s="117" t="inlineStr">
        <is>
          <t>ASILB</t>
        </is>
      </c>
      <c r="F26" s="180" t="inlineStr">
        <is>
          <t>ADC驱动控制</t>
        </is>
      </c>
    </row>
    <row r="27" ht="14.75" customHeight="1">
      <c r="A27" s="174" t="n"/>
      <c r="B27" s="116" t="inlineStr">
        <is>
          <t>SWC-21</t>
        </is>
      </c>
      <c r="C27" s="116" t="inlineStr">
        <is>
          <t>WDG</t>
        </is>
      </c>
      <c r="D27" s="116" t="inlineStr">
        <is>
          <t>100ms</t>
        </is>
      </c>
      <c r="E27" s="117" t="inlineStr">
        <is>
          <t>ASILB</t>
        </is>
      </c>
      <c r="F27" s="180" t="inlineStr">
        <is>
          <t>看门狗处理</t>
        </is>
      </c>
    </row>
    <row r="28" ht="14.75" customHeight="1">
      <c r="A28" s="174" t="n"/>
      <c r="B28" s="116" t="inlineStr">
        <is>
          <t>SWC-22</t>
        </is>
      </c>
      <c r="C28" s="116" t="inlineStr">
        <is>
          <t>GPIO</t>
        </is>
      </c>
      <c r="D28" s="116" t="inlineStr">
        <is>
          <t>1ms</t>
        </is>
      </c>
      <c r="E28" s="117" t="inlineStr">
        <is>
          <t>ASILB</t>
        </is>
      </c>
      <c r="F28" s="180" t="inlineStr">
        <is>
          <t>IO控制</t>
        </is>
      </c>
    </row>
    <row r="29" ht="14.75" customHeight="1">
      <c r="A29" s="174" t="n"/>
      <c r="B29" s="116" t="inlineStr">
        <is>
          <t>SWC-23</t>
        </is>
      </c>
      <c r="C29" s="116" t="inlineStr">
        <is>
          <t>PWM</t>
        </is>
      </c>
      <c r="D29" s="116" t="inlineStr">
        <is>
          <t>1ms</t>
        </is>
      </c>
      <c r="E29" s="117" t="inlineStr">
        <is>
          <t>ASILB</t>
        </is>
      </c>
      <c r="F29" s="180" t="inlineStr">
        <is>
          <t>PWM驱动控制</t>
        </is>
      </c>
    </row>
    <row r="30" ht="14.75" customHeight="1">
      <c r="A30" s="174" t="n"/>
      <c r="B30" s="116" t="inlineStr">
        <is>
          <t>SWC-24</t>
        </is>
      </c>
      <c r="C30" s="116" t="inlineStr">
        <is>
          <t>NVM</t>
        </is>
      </c>
      <c r="D30" s="116" t="inlineStr">
        <is>
          <t>1ms</t>
        </is>
      </c>
      <c r="E30" s="117" t="inlineStr">
        <is>
          <t>ASILB</t>
        </is>
      </c>
      <c r="F30" s="180" t="inlineStr">
        <is>
          <t>非易失性存储管理</t>
        </is>
      </c>
    </row>
  </sheetData>
  <mergeCells count="4">
    <mergeCell ref="A1:C1"/>
    <mergeCell ref="A7:A16"/>
    <mergeCell ref="A17:A30"/>
    <mergeCell ref="A2:C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2:Z27"/>
  <sheetViews>
    <sheetView zoomScale="70" zoomScaleNormal="70" workbookViewId="0">
      <pane xSplit="1" topLeftCell="B1" activePane="topRight" state="frozen"/>
      <selection activeCell="A1" sqref="A1"/>
      <selection pane="topRight" activeCell="E2" sqref="E2:J2"/>
    </sheetView>
  </sheetViews>
  <sheetFormatPr baseColWidth="8" defaultColWidth="9.91666666666667" defaultRowHeight="14.5"/>
  <cols>
    <col width="17.3333333333333" customWidth="1" style="96" min="1" max="1"/>
    <col width="9.91666666666667" customWidth="1" style="96" min="2" max="2"/>
    <col width="11.8333333333333" customWidth="1" style="97" min="3" max="3"/>
    <col width="10.5833333333333" customWidth="1" style="97" min="4" max="16"/>
    <col width="10.5833333333333" customWidth="1" style="98" min="17" max="26"/>
    <col width="5.58333333333333" customWidth="1" style="98" min="27" max="42"/>
    <col width="9.91666666666667" customWidth="1" style="98" min="43" max="16384"/>
  </cols>
  <sheetData>
    <row r="2" ht="54.5" customFormat="1" customHeight="1" s="93">
      <c r="A2" s="99" t="n"/>
      <c r="B2" s="99" t="n"/>
      <c r="C2" s="100" t="inlineStr">
        <is>
          <t>SysClk</t>
        </is>
      </c>
      <c r="D2" s="100" t="inlineStr">
        <is>
          <t>SPI</t>
        </is>
      </c>
      <c r="E2" s="100" t="inlineStr">
        <is>
          <t>CAN</t>
        </is>
      </c>
      <c r="F2" s="100" t="inlineStr">
        <is>
          <t>ADC</t>
        </is>
      </c>
      <c r="G2" s="100" t="inlineStr">
        <is>
          <t>WDG</t>
        </is>
      </c>
      <c r="H2" s="100" t="inlineStr">
        <is>
          <t>GPIO</t>
        </is>
      </c>
      <c r="I2" s="100" t="inlineStr">
        <is>
          <t>PWM</t>
        </is>
      </c>
      <c r="J2" s="100" t="inlineStr">
        <is>
          <t>NVM</t>
        </is>
      </c>
      <c r="K2" s="100">
        <f>A12</f>
        <v/>
      </c>
      <c r="L2" s="100">
        <f>A13</f>
        <v/>
      </c>
      <c r="M2" s="100">
        <f>A14</f>
        <v/>
      </c>
      <c r="N2" s="100">
        <f>A15</f>
        <v/>
      </c>
      <c r="O2" s="100">
        <f>A16</f>
        <v/>
      </c>
      <c r="P2" s="100">
        <f>A17</f>
        <v/>
      </c>
      <c r="Q2" s="100">
        <f>A18</f>
        <v/>
      </c>
      <c r="R2" s="100">
        <f>A19</f>
        <v/>
      </c>
      <c r="S2" s="100">
        <f>A20</f>
        <v/>
      </c>
      <c r="T2" s="100">
        <f>A21</f>
        <v/>
      </c>
      <c r="U2" s="100">
        <f>A22</f>
        <v/>
      </c>
      <c r="V2" s="101">
        <f>A23</f>
        <v/>
      </c>
      <c r="W2" s="101">
        <f>A24</f>
        <v/>
      </c>
      <c r="X2" s="101">
        <f>A25</f>
        <v/>
      </c>
      <c r="Y2" s="101">
        <f>A26</f>
        <v/>
      </c>
      <c r="Z2" s="101">
        <f>A27</f>
        <v/>
      </c>
    </row>
    <row r="3" customFormat="1" s="94">
      <c r="A3" s="99" t="n"/>
      <c r="B3" s="99" t="n"/>
      <c r="C3" s="102" t="inlineStr">
        <is>
          <t>ASILA</t>
        </is>
      </c>
      <c r="D3" s="103" t="inlineStr">
        <is>
          <t>ASILA</t>
        </is>
      </c>
      <c r="E3" s="104" t="inlineStr">
        <is>
          <t>ASILB</t>
        </is>
      </c>
      <c r="F3" s="104" t="inlineStr">
        <is>
          <t>ASILB</t>
        </is>
      </c>
      <c r="G3" s="104" t="inlineStr">
        <is>
          <t>ASILB</t>
        </is>
      </c>
      <c r="H3" s="104" t="inlineStr">
        <is>
          <t>ASILB</t>
        </is>
      </c>
      <c r="I3" s="104" t="inlineStr">
        <is>
          <t>ASILB</t>
        </is>
      </c>
      <c r="J3" s="104" t="inlineStr">
        <is>
          <t>ASILB</t>
        </is>
      </c>
      <c r="K3" s="104" t="inlineStr">
        <is>
          <t>ASILB</t>
        </is>
      </c>
      <c r="L3" s="103" t="inlineStr">
        <is>
          <t>ASILA</t>
        </is>
      </c>
      <c r="M3" s="103" t="inlineStr">
        <is>
          <t>ASILA</t>
        </is>
      </c>
      <c r="N3" s="102" t="inlineStr">
        <is>
          <t>QM</t>
        </is>
      </c>
      <c r="O3" s="104" t="inlineStr">
        <is>
          <t>ASILB</t>
        </is>
      </c>
      <c r="P3" s="102" t="inlineStr">
        <is>
          <t>QM</t>
        </is>
      </c>
      <c r="Q3" s="104" t="inlineStr">
        <is>
          <t>ASILB</t>
        </is>
      </c>
      <c r="R3" s="104" t="inlineStr">
        <is>
          <t>ASILB</t>
        </is>
      </c>
      <c r="S3" s="104" t="inlineStr">
        <is>
          <t>ASILB</t>
        </is>
      </c>
      <c r="T3" s="102" t="inlineStr">
        <is>
          <t>QM</t>
        </is>
      </c>
      <c r="U3" s="104" t="inlineStr">
        <is>
          <t>ASILB</t>
        </is>
      </c>
      <c r="V3" s="104" t="inlineStr">
        <is>
          <t>ASILB</t>
        </is>
      </c>
      <c r="W3" s="104" t="inlineStr">
        <is>
          <t>ASILB</t>
        </is>
      </c>
      <c r="X3" s="102" t="inlineStr">
        <is>
          <t>QM</t>
        </is>
      </c>
      <c r="Y3" s="103" t="inlineStr">
        <is>
          <t>ASILA</t>
        </is>
      </c>
      <c r="Z3" s="104" t="inlineStr">
        <is>
          <t>ASILB</t>
        </is>
      </c>
    </row>
    <row r="4">
      <c r="A4" s="100" t="inlineStr">
        <is>
          <t>SysClk</t>
        </is>
      </c>
      <c r="B4" s="103" t="inlineStr">
        <is>
          <t>ASILA</t>
        </is>
      </c>
      <c r="C4" s="105" t="inlineStr">
        <is>
          <t>NA</t>
        </is>
      </c>
      <c r="D4" s="106" t="inlineStr">
        <is>
          <t>SW_DF_001</t>
        </is>
      </c>
      <c r="E4" s="106" t="inlineStr">
        <is>
          <t>SW_DF_001</t>
        </is>
      </c>
      <c r="F4" s="106" t="inlineStr">
        <is>
          <t>SW_DF_001</t>
        </is>
      </c>
      <c r="G4" s="106" t="inlineStr">
        <is>
          <t>SW_DF_001</t>
        </is>
      </c>
      <c r="H4" s="106" t="inlineStr">
        <is>
          <t>SW_DF_001</t>
        </is>
      </c>
      <c r="I4" s="106" t="inlineStr">
        <is>
          <t>SW_DF_001</t>
        </is>
      </c>
      <c r="J4" s="106" t="inlineStr">
        <is>
          <t>SW_DF_001</t>
        </is>
      </c>
      <c r="K4" s="106" t="inlineStr">
        <is>
          <t>/</t>
        </is>
      </c>
      <c r="L4" s="106" t="inlineStr">
        <is>
          <t>/</t>
        </is>
      </c>
      <c r="M4" s="106" t="inlineStr">
        <is>
          <t>/</t>
        </is>
      </c>
      <c r="N4" s="106" t="inlineStr">
        <is>
          <t>/</t>
        </is>
      </c>
      <c r="O4" s="106" t="inlineStr">
        <is>
          <t>/</t>
        </is>
      </c>
      <c r="P4" s="106" t="inlineStr">
        <is>
          <t>/</t>
        </is>
      </c>
      <c r="Q4" s="106" t="inlineStr">
        <is>
          <t>/</t>
        </is>
      </c>
      <c r="R4" s="106" t="inlineStr">
        <is>
          <t>/</t>
        </is>
      </c>
      <c r="S4" s="106" t="inlineStr">
        <is>
          <t>/</t>
        </is>
      </c>
      <c r="T4" s="106" t="inlineStr">
        <is>
          <t>/</t>
        </is>
      </c>
      <c r="U4" s="106" t="inlineStr">
        <is>
          <t>/</t>
        </is>
      </c>
      <c r="V4" s="106" t="inlineStr">
        <is>
          <t>/</t>
        </is>
      </c>
      <c r="W4" s="106" t="inlineStr">
        <is>
          <t>/</t>
        </is>
      </c>
      <c r="X4" s="106" t="inlineStr">
        <is>
          <t>/</t>
        </is>
      </c>
      <c r="Y4" s="106" t="inlineStr">
        <is>
          <t>/</t>
        </is>
      </c>
      <c r="Z4" s="106" t="inlineStr">
        <is>
          <t>/</t>
        </is>
      </c>
    </row>
    <row r="5">
      <c r="A5" s="100" t="inlineStr">
        <is>
          <t>SPI</t>
        </is>
      </c>
      <c r="B5" s="103" t="inlineStr">
        <is>
          <t>ASILA</t>
        </is>
      </c>
      <c r="C5" s="106" t="inlineStr">
        <is>
          <t>/</t>
        </is>
      </c>
      <c r="D5" s="105" t="inlineStr">
        <is>
          <t>NA</t>
        </is>
      </c>
      <c r="E5" s="106" t="inlineStr">
        <is>
          <t>/</t>
        </is>
      </c>
      <c r="F5" s="106" t="inlineStr">
        <is>
          <t>/</t>
        </is>
      </c>
      <c r="G5" s="106" t="inlineStr">
        <is>
          <t>/</t>
        </is>
      </c>
      <c r="H5" s="106" t="inlineStr">
        <is>
          <t>/</t>
        </is>
      </c>
      <c r="I5" s="106" t="inlineStr">
        <is>
          <t>/</t>
        </is>
      </c>
      <c r="J5" s="106" t="inlineStr">
        <is>
          <t>/</t>
        </is>
      </c>
      <c r="K5" s="106" t="inlineStr">
        <is>
          <t>/</t>
        </is>
      </c>
      <c r="L5" s="106" t="inlineStr">
        <is>
          <t>/</t>
        </is>
      </c>
      <c r="M5" s="106" t="inlineStr">
        <is>
          <t>/</t>
        </is>
      </c>
      <c r="N5" s="106" t="inlineStr">
        <is>
          <t>/</t>
        </is>
      </c>
      <c r="O5" s="106" t="inlineStr">
        <is>
          <t>/</t>
        </is>
      </c>
      <c r="P5" s="106" t="inlineStr">
        <is>
          <t>/</t>
        </is>
      </c>
      <c r="Q5" s="106" t="inlineStr">
        <is>
          <t>/</t>
        </is>
      </c>
      <c r="R5" s="106" t="inlineStr">
        <is>
          <t>/</t>
        </is>
      </c>
      <c r="S5" s="106" t="inlineStr">
        <is>
          <t>/</t>
        </is>
      </c>
      <c r="T5" s="106" t="inlineStr">
        <is>
          <t>/</t>
        </is>
      </c>
      <c r="U5" s="106" t="inlineStr">
        <is>
          <t>/</t>
        </is>
      </c>
      <c r="V5" s="106" t="inlineStr">
        <is>
          <t>/</t>
        </is>
      </c>
      <c r="W5" s="106" t="inlineStr">
        <is>
          <t>/</t>
        </is>
      </c>
      <c r="X5" s="106" t="inlineStr">
        <is>
          <t>/</t>
        </is>
      </c>
      <c r="Y5" s="106" t="inlineStr">
        <is>
          <t>/</t>
        </is>
      </c>
      <c r="Z5" s="106" t="inlineStr">
        <is>
          <t>/</t>
        </is>
      </c>
    </row>
    <row r="6">
      <c r="A6" s="100" t="inlineStr">
        <is>
          <t>CAN</t>
        </is>
      </c>
      <c r="B6" s="104" t="inlineStr">
        <is>
          <t>ASILB</t>
        </is>
      </c>
      <c r="C6" s="106" t="inlineStr">
        <is>
          <t>/</t>
        </is>
      </c>
      <c r="D6" s="106" t="inlineStr">
        <is>
          <t>/</t>
        </is>
      </c>
      <c r="E6" s="105" t="inlineStr">
        <is>
          <t>NA</t>
        </is>
      </c>
      <c r="F6" s="106" t="inlineStr">
        <is>
          <t>/</t>
        </is>
      </c>
      <c r="G6" s="106" t="inlineStr">
        <is>
          <t>/</t>
        </is>
      </c>
      <c r="H6" s="106" t="inlineStr">
        <is>
          <t>/</t>
        </is>
      </c>
      <c r="I6" s="106" t="inlineStr">
        <is>
          <t>/</t>
        </is>
      </c>
      <c r="J6" s="106" t="inlineStr">
        <is>
          <t>/</t>
        </is>
      </c>
      <c r="K6" s="106" t="inlineStr">
        <is>
          <t>/</t>
        </is>
      </c>
      <c r="L6" s="106" t="inlineStr">
        <is>
          <t>/</t>
        </is>
      </c>
      <c r="M6" s="106" t="inlineStr">
        <is>
          <t>/</t>
        </is>
      </c>
      <c r="N6" s="106" t="inlineStr">
        <is>
          <t>/</t>
        </is>
      </c>
      <c r="O6" s="106" t="inlineStr">
        <is>
          <t>/</t>
        </is>
      </c>
      <c r="P6" s="106" t="inlineStr">
        <is>
          <t>/</t>
        </is>
      </c>
      <c r="Q6" s="106" t="inlineStr">
        <is>
          <t>/</t>
        </is>
      </c>
      <c r="R6" s="106" t="inlineStr">
        <is>
          <t>SW_DF_002</t>
        </is>
      </c>
      <c r="S6" s="106" t="inlineStr">
        <is>
          <t>/</t>
        </is>
      </c>
      <c r="T6" s="106" t="inlineStr">
        <is>
          <t>/</t>
        </is>
      </c>
      <c r="U6" s="106" t="inlineStr">
        <is>
          <t>SW_DF_002</t>
        </is>
      </c>
      <c r="V6" s="106" t="inlineStr">
        <is>
          <t>/</t>
        </is>
      </c>
      <c r="W6" s="106" t="inlineStr">
        <is>
          <t>/</t>
        </is>
      </c>
      <c r="X6" s="106" t="inlineStr">
        <is>
          <t>/</t>
        </is>
      </c>
      <c r="Y6" s="106" t="inlineStr">
        <is>
          <t>/</t>
        </is>
      </c>
      <c r="Z6" s="106" t="inlineStr">
        <is>
          <t>/</t>
        </is>
      </c>
    </row>
    <row r="7">
      <c r="A7" s="100" t="inlineStr">
        <is>
          <t>ADC</t>
        </is>
      </c>
      <c r="B7" s="104" t="inlineStr">
        <is>
          <t>ASILB</t>
        </is>
      </c>
      <c r="C7" s="106" t="inlineStr">
        <is>
          <t>/</t>
        </is>
      </c>
      <c r="D7" s="106" t="inlineStr">
        <is>
          <t>/</t>
        </is>
      </c>
      <c r="E7" s="106" t="inlineStr">
        <is>
          <t>/</t>
        </is>
      </c>
      <c r="F7" s="105" t="inlineStr">
        <is>
          <t>NA</t>
        </is>
      </c>
      <c r="G7" s="106" t="inlineStr">
        <is>
          <t>/</t>
        </is>
      </c>
      <c r="H7" s="106" t="inlineStr">
        <is>
          <t>/</t>
        </is>
      </c>
      <c r="I7" s="106" t="inlineStr">
        <is>
          <t>/</t>
        </is>
      </c>
      <c r="J7" s="106" t="inlineStr">
        <is>
          <t>/</t>
        </is>
      </c>
      <c r="K7" s="106" t="inlineStr">
        <is>
          <t>/</t>
        </is>
      </c>
      <c r="L7" s="106" t="inlineStr">
        <is>
          <t>/</t>
        </is>
      </c>
      <c r="M7" s="106" t="inlineStr">
        <is>
          <t>/</t>
        </is>
      </c>
      <c r="N7" s="106" t="inlineStr">
        <is>
          <t>/</t>
        </is>
      </c>
      <c r="O7" s="106" t="inlineStr">
        <is>
          <t>SW_DF_003</t>
        </is>
      </c>
      <c r="P7" s="106" t="inlineStr">
        <is>
          <t>/</t>
        </is>
      </c>
      <c r="Q7" s="106" t="inlineStr">
        <is>
          <t>/</t>
        </is>
      </c>
      <c r="R7" s="106" t="inlineStr">
        <is>
          <t>/</t>
        </is>
      </c>
      <c r="S7" s="106" t="inlineStr">
        <is>
          <t>/</t>
        </is>
      </c>
      <c r="T7" s="106" t="inlineStr">
        <is>
          <t>/</t>
        </is>
      </c>
      <c r="U7" s="106" t="inlineStr">
        <is>
          <t>/</t>
        </is>
      </c>
      <c r="V7" s="106" t="inlineStr">
        <is>
          <t>/</t>
        </is>
      </c>
      <c r="W7" s="106" t="inlineStr">
        <is>
          <t>/</t>
        </is>
      </c>
      <c r="X7" s="106" t="inlineStr">
        <is>
          <t>/</t>
        </is>
      </c>
      <c r="Y7" s="106" t="inlineStr">
        <is>
          <t>/</t>
        </is>
      </c>
      <c r="Z7" s="106" t="inlineStr">
        <is>
          <t>/</t>
        </is>
      </c>
    </row>
    <row r="8">
      <c r="A8" s="100" t="inlineStr">
        <is>
          <t>WDG</t>
        </is>
      </c>
      <c r="B8" s="104" t="inlineStr">
        <is>
          <t>ASILB</t>
        </is>
      </c>
      <c r="C8" s="106" t="inlineStr">
        <is>
          <t>/</t>
        </is>
      </c>
      <c r="D8" s="106" t="inlineStr">
        <is>
          <t>/</t>
        </is>
      </c>
      <c r="E8" s="106" t="inlineStr">
        <is>
          <t>/</t>
        </is>
      </c>
      <c r="F8" s="106" t="inlineStr">
        <is>
          <t>/</t>
        </is>
      </c>
      <c r="G8" s="105" t="inlineStr">
        <is>
          <t>NA</t>
        </is>
      </c>
      <c r="H8" s="106" t="inlineStr">
        <is>
          <t>/</t>
        </is>
      </c>
      <c r="I8" s="106" t="inlineStr">
        <is>
          <t>/</t>
        </is>
      </c>
      <c r="J8" s="106" t="inlineStr">
        <is>
          <t>/</t>
        </is>
      </c>
      <c r="K8" s="106" t="inlineStr">
        <is>
          <t>/</t>
        </is>
      </c>
      <c r="L8" s="106" t="inlineStr">
        <is>
          <t>/</t>
        </is>
      </c>
      <c r="M8" s="106" t="inlineStr">
        <is>
          <t>/</t>
        </is>
      </c>
      <c r="N8" s="106" t="inlineStr">
        <is>
          <t>/</t>
        </is>
      </c>
      <c r="O8" s="106" t="inlineStr">
        <is>
          <t>/</t>
        </is>
      </c>
      <c r="P8" s="106" t="inlineStr">
        <is>
          <t>/</t>
        </is>
      </c>
      <c r="Q8" s="106" t="inlineStr">
        <is>
          <t>/</t>
        </is>
      </c>
      <c r="R8" s="106" t="inlineStr">
        <is>
          <t>/</t>
        </is>
      </c>
      <c r="S8" s="106" t="inlineStr">
        <is>
          <t>/</t>
        </is>
      </c>
      <c r="T8" s="106" t="inlineStr">
        <is>
          <t>/</t>
        </is>
      </c>
      <c r="U8" s="106" t="inlineStr">
        <is>
          <t>/</t>
        </is>
      </c>
      <c r="V8" s="106" t="inlineStr">
        <is>
          <t>/</t>
        </is>
      </c>
      <c r="W8" s="106" t="inlineStr">
        <is>
          <t>/</t>
        </is>
      </c>
      <c r="X8" s="106" t="inlineStr">
        <is>
          <t>/</t>
        </is>
      </c>
      <c r="Y8" s="106" t="inlineStr">
        <is>
          <t>/</t>
        </is>
      </c>
      <c r="Z8" s="106" t="inlineStr">
        <is>
          <t>/</t>
        </is>
      </c>
    </row>
    <row r="9">
      <c r="A9" s="100" t="inlineStr">
        <is>
          <t>GPIO</t>
        </is>
      </c>
      <c r="B9" s="104" t="inlineStr">
        <is>
          <t>ASILB</t>
        </is>
      </c>
      <c r="C9" s="106" t="inlineStr">
        <is>
          <t>/</t>
        </is>
      </c>
      <c r="D9" s="106" t="inlineStr">
        <is>
          <t>/</t>
        </is>
      </c>
      <c r="E9" s="106" t="inlineStr">
        <is>
          <t>/</t>
        </is>
      </c>
      <c r="F9" s="106" t="inlineStr">
        <is>
          <t>/</t>
        </is>
      </c>
      <c r="G9" s="106" t="inlineStr">
        <is>
          <t>/</t>
        </is>
      </c>
      <c r="H9" s="105" t="inlineStr">
        <is>
          <t>NA</t>
        </is>
      </c>
      <c r="I9" s="106" t="inlineStr">
        <is>
          <t>/</t>
        </is>
      </c>
      <c r="J9" s="106" t="inlineStr">
        <is>
          <t>/</t>
        </is>
      </c>
      <c r="K9" s="106" t="inlineStr">
        <is>
          <t>SW_DF_004</t>
        </is>
      </c>
      <c r="L9" s="106" t="inlineStr">
        <is>
          <t>/</t>
        </is>
      </c>
      <c r="M9" s="106" t="inlineStr">
        <is>
          <t>/</t>
        </is>
      </c>
      <c r="N9" s="106" t="inlineStr">
        <is>
          <t>/</t>
        </is>
      </c>
      <c r="O9" s="106" t="inlineStr">
        <is>
          <t>/</t>
        </is>
      </c>
      <c r="P9" s="106" t="inlineStr">
        <is>
          <t>/</t>
        </is>
      </c>
      <c r="Q9" s="106" t="inlineStr">
        <is>
          <t>/</t>
        </is>
      </c>
      <c r="R9" s="106" t="inlineStr">
        <is>
          <t>/</t>
        </is>
      </c>
      <c r="S9" s="106" t="inlineStr">
        <is>
          <t>SW_DF_004</t>
        </is>
      </c>
      <c r="T9" s="106" t="inlineStr">
        <is>
          <t>/</t>
        </is>
      </c>
      <c r="U9" s="106" t="inlineStr">
        <is>
          <t>/</t>
        </is>
      </c>
      <c r="V9" s="106" t="inlineStr">
        <is>
          <t>/</t>
        </is>
      </c>
      <c r="W9" s="106" t="inlineStr">
        <is>
          <t>/</t>
        </is>
      </c>
      <c r="X9" s="106" t="inlineStr">
        <is>
          <t>/</t>
        </is>
      </c>
      <c r="Y9" s="106" t="inlineStr">
        <is>
          <t>/</t>
        </is>
      </c>
      <c r="Z9" s="106" t="inlineStr">
        <is>
          <t>/</t>
        </is>
      </c>
    </row>
    <row r="10">
      <c r="A10" s="100" t="inlineStr">
        <is>
          <t>PWM</t>
        </is>
      </c>
      <c r="B10" s="104" t="inlineStr">
        <is>
          <t>ASILB</t>
        </is>
      </c>
      <c r="C10" s="106" t="inlineStr">
        <is>
          <t>/</t>
        </is>
      </c>
      <c r="D10" s="106" t="inlineStr">
        <is>
          <t>/</t>
        </is>
      </c>
      <c r="E10" s="106" t="inlineStr">
        <is>
          <t>/</t>
        </is>
      </c>
      <c r="F10" s="106" t="inlineStr">
        <is>
          <t>/</t>
        </is>
      </c>
      <c r="G10" s="106" t="inlineStr">
        <is>
          <t>/</t>
        </is>
      </c>
      <c r="H10" s="106" t="inlineStr">
        <is>
          <t>/</t>
        </is>
      </c>
      <c r="I10" s="105" t="inlineStr">
        <is>
          <t>NA</t>
        </is>
      </c>
      <c r="J10" s="106" t="inlineStr">
        <is>
          <t>/</t>
        </is>
      </c>
      <c r="K10" s="106" t="inlineStr">
        <is>
          <t>/</t>
        </is>
      </c>
      <c r="L10" s="106" t="inlineStr">
        <is>
          <t>/</t>
        </is>
      </c>
      <c r="M10" s="106" t="inlineStr">
        <is>
          <t>/</t>
        </is>
      </c>
      <c r="N10" s="106" t="inlineStr">
        <is>
          <t>/</t>
        </is>
      </c>
      <c r="O10" s="106" t="inlineStr">
        <is>
          <t>/</t>
        </is>
      </c>
      <c r="P10" s="106" t="inlineStr">
        <is>
          <t>/</t>
        </is>
      </c>
      <c r="Q10" s="106" t="inlineStr">
        <is>
          <t>/</t>
        </is>
      </c>
      <c r="R10" s="106" t="inlineStr">
        <is>
          <t>/</t>
        </is>
      </c>
      <c r="S10" s="106" t="inlineStr">
        <is>
          <t>/</t>
        </is>
      </c>
      <c r="T10" s="106" t="inlineStr">
        <is>
          <t>/</t>
        </is>
      </c>
      <c r="U10" s="106" t="inlineStr">
        <is>
          <t>/</t>
        </is>
      </c>
      <c r="V10" s="106" t="inlineStr">
        <is>
          <t>/</t>
        </is>
      </c>
      <c r="W10" s="106" t="inlineStr">
        <is>
          <t>/</t>
        </is>
      </c>
      <c r="X10" s="106" t="inlineStr">
        <is>
          <t>/</t>
        </is>
      </c>
      <c r="Y10" s="106" t="inlineStr">
        <is>
          <t>/</t>
        </is>
      </c>
      <c r="Z10" s="106" t="inlineStr">
        <is>
          <t>/</t>
        </is>
      </c>
    </row>
    <row r="11">
      <c r="A11" s="100" t="inlineStr">
        <is>
          <t>NVM</t>
        </is>
      </c>
      <c r="B11" s="104" t="inlineStr">
        <is>
          <t>ASILB</t>
        </is>
      </c>
      <c r="C11" s="106" t="inlineStr">
        <is>
          <t>/</t>
        </is>
      </c>
      <c r="D11" s="106" t="inlineStr">
        <is>
          <t>SW_DF_005</t>
        </is>
      </c>
      <c r="E11" s="106" t="inlineStr">
        <is>
          <t>SW_DF_005</t>
        </is>
      </c>
      <c r="F11" s="106" t="inlineStr">
        <is>
          <t>SW_DF_005</t>
        </is>
      </c>
      <c r="G11" s="106" t="inlineStr">
        <is>
          <t>SW_DF_005</t>
        </is>
      </c>
      <c r="H11" s="106" t="inlineStr">
        <is>
          <t>SW_DF_005</t>
        </is>
      </c>
      <c r="I11" s="106" t="inlineStr">
        <is>
          <t>SW_DF_005</t>
        </is>
      </c>
      <c r="J11" s="105" t="inlineStr">
        <is>
          <t>NA</t>
        </is>
      </c>
      <c r="K11" s="106" t="inlineStr">
        <is>
          <t>/</t>
        </is>
      </c>
      <c r="L11" s="106" t="inlineStr">
        <is>
          <t>/</t>
        </is>
      </c>
      <c r="M11" s="106" t="inlineStr">
        <is>
          <t>/</t>
        </is>
      </c>
      <c r="N11" s="106" t="inlineStr">
        <is>
          <t>/</t>
        </is>
      </c>
      <c r="O11" s="106" t="inlineStr">
        <is>
          <t>/</t>
        </is>
      </c>
      <c r="P11" s="106" t="inlineStr">
        <is>
          <t>/</t>
        </is>
      </c>
      <c r="Q11" s="106" t="inlineStr">
        <is>
          <t>/</t>
        </is>
      </c>
      <c r="R11" s="106" t="inlineStr">
        <is>
          <t>/</t>
        </is>
      </c>
      <c r="S11" s="106" t="inlineStr">
        <is>
          <t>/</t>
        </is>
      </c>
      <c r="T11" s="106" t="inlineStr">
        <is>
          <t>/</t>
        </is>
      </c>
      <c r="U11" s="106" t="inlineStr">
        <is>
          <t>/</t>
        </is>
      </c>
      <c r="V11" s="106" t="inlineStr">
        <is>
          <t>/</t>
        </is>
      </c>
      <c r="W11" s="106" t="inlineStr">
        <is>
          <t>/</t>
        </is>
      </c>
      <c r="X11" s="106" t="inlineStr">
        <is>
          <t>/</t>
        </is>
      </c>
      <c r="Y11" s="106" t="inlineStr">
        <is>
          <t>/</t>
        </is>
      </c>
      <c r="Z11" s="106" t="inlineStr">
        <is>
          <t>/</t>
        </is>
      </c>
    </row>
    <row r="12">
      <c r="A12" s="100" t="inlineStr">
        <is>
          <t>ECU_PosBreak</t>
        </is>
      </c>
      <c r="B12" s="104" t="inlineStr">
        <is>
          <t>ASILB</t>
        </is>
      </c>
      <c r="C12" s="106" t="inlineStr">
        <is>
          <t>/</t>
        </is>
      </c>
      <c r="D12" s="106" t="inlineStr">
        <is>
          <t>/</t>
        </is>
      </c>
      <c r="E12" s="106" t="inlineStr">
        <is>
          <t>/</t>
        </is>
      </c>
      <c r="F12" s="106" t="inlineStr">
        <is>
          <t>/</t>
        </is>
      </c>
      <c r="G12" s="106" t="inlineStr">
        <is>
          <t>/</t>
        </is>
      </c>
      <c r="H12" s="106" t="inlineStr">
        <is>
          <t>/</t>
        </is>
      </c>
      <c r="I12" s="106" t="inlineStr">
        <is>
          <t>SW_DF_006</t>
        </is>
      </c>
      <c r="J12" s="106" t="inlineStr">
        <is>
          <t>/</t>
        </is>
      </c>
      <c r="K12" s="105" t="inlineStr">
        <is>
          <t>NA</t>
        </is>
      </c>
      <c r="L12" s="106" t="inlineStr">
        <is>
          <t>/</t>
        </is>
      </c>
      <c r="M12" s="106" t="inlineStr">
        <is>
          <t>/</t>
        </is>
      </c>
      <c r="N12" s="106" t="inlineStr">
        <is>
          <t>/</t>
        </is>
      </c>
      <c r="O12" s="106" t="inlineStr">
        <is>
          <t>/</t>
        </is>
      </c>
      <c r="P12" s="106" t="inlineStr">
        <is>
          <t>/</t>
        </is>
      </c>
      <c r="Q12" s="106" t="inlineStr">
        <is>
          <t>/</t>
        </is>
      </c>
      <c r="R12" s="106" t="inlineStr">
        <is>
          <t>/</t>
        </is>
      </c>
      <c r="S12" s="106" t="inlineStr">
        <is>
          <t>/</t>
        </is>
      </c>
      <c r="T12" s="106" t="inlineStr">
        <is>
          <t>/</t>
        </is>
      </c>
      <c r="U12" s="106" t="inlineStr">
        <is>
          <t>/</t>
        </is>
      </c>
      <c r="V12" s="106" t="inlineStr">
        <is>
          <t>/</t>
        </is>
      </c>
      <c r="W12" s="106" t="inlineStr">
        <is>
          <t>SW_DF_006</t>
        </is>
      </c>
      <c r="X12" s="106" t="inlineStr">
        <is>
          <t>/</t>
        </is>
      </c>
      <c r="Y12" s="106" t="inlineStr">
        <is>
          <t>/</t>
        </is>
      </c>
      <c r="Z12" s="106" t="inlineStr">
        <is>
          <t>/</t>
        </is>
      </c>
    </row>
    <row r="13">
      <c r="A13" s="100" t="inlineStr">
        <is>
          <t>ECU_TurnLight</t>
        </is>
      </c>
      <c r="B13" s="103" t="inlineStr">
        <is>
          <t>ASILA</t>
        </is>
      </c>
      <c r="C13" s="106" t="inlineStr">
        <is>
          <t>/</t>
        </is>
      </c>
      <c r="D13" s="106" t="inlineStr">
        <is>
          <t>/</t>
        </is>
      </c>
      <c r="E13" s="106" t="inlineStr">
        <is>
          <t>/</t>
        </is>
      </c>
      <c r="F13" s="106" t="inlineStr">
        <is>
          <t>/</t>
        </is>
      </c>
      <c r="G13" s="106" t="inlineStr">
        <is>
          <t>/</t>
        </is>
      </c>
      <c r="H13" s="106" t="inlineStr">
        <is>
          <t>/</t>
        </is>
      </c>
      <c r="I13" s="106" t="inlineStr">
        <is>
          <t>SW_DF_007</t>
        </is>
      </c>
      <c r="J13" s="106" t="inlineStr">
        <is>
          <t>/</t>
        </is>
      </c>
      <c r="K13" s="106" t="inlineStr">
        <is>
          <t>/</t>
        </is>
      </c>
      <c r="L13" s="105" t="inlineStr">
        <is>
          <t>NA</t>
        </is>
      </c>
      <c r="M13" s="106" t="inlineStr">
        <is>
          <t>/</t>
        </is>
      </c>
      <c r="N13" s="106" t="inlineStr">
        <is>
          <t>/</t>
        </is>
      </c>
      <c r="O13" s="106" t="inlineStr">
        <is>
          <t>/</t>
        </is>
      </c>
      <c r="P13" s="106" t="inlineStr">
        <is>
          <t>/</t>
        </is>
      </c>
      <c r="Q13" s="106" t="inlineStr">
        <is>
          <t>/</t>
        </is>
      </c>
      <c r="R13" s="106" t="inlineStr">
        <is>
          <t>/</t>
        </is>
      </c>
      <c r="S13" s="106" t="inlineStr">
        <is>
          <t>/</t>
        </is>
      </c>
      <c r="T13" s="106" t="inlineStr">
        <is>
          <t>/</t>
        </is>
      </c>
      <c r="U13" s="106" t="inlineStr">
        <is>
          <t>/</t>
        </is>
      </c>
      <c r="V13" s="106" t="inlineStr">
        <is>
          <t>/</t>
        </is>
      </c>
      <c r="W13" s="106" t="inlineStr">
        <is>
          <t>SW_DF_007</t>
        </is>
      </c>
      <c r="X13" s="106" t="inlineStr">
        <is>
          <t>/</t>
        </is>
      </c>
      <c r="Y13" s="106" t="inlineStr">
        <is>
          <t>/</t>
        </is>
      </c>
      <c r="Z13" s="106" t="inlineStr">
        <is>
          <t>/</t>
        </is>
      </c>
    </row>
    <row r="14">
      <c r="A14" s="100" t="inlineStr">
        <is>
          <t>ECU_ReverseLight</t>
        </is>
      </c>
      <c r="B14" s="103" t="inlineStr">
        <is>
          <t>ASILA</t>
        </is>
      </c>
      <c r="C14" s="106" t="inlineStr">
        <is>
          <t>/</t>
        </is>
      </c>
      <c r="D14" s="106" t="inlineStr">
        <is>
          <t>/</t>
        </is>
      </c>
      <c r="E14" s="106" t="inlineStr">
        <is>
          <t>/</t>
        </is>
      </c>
      <c r="F14" s="106" t="inlineStr">
        <is>
          <t>/</t>
        </is>
      </c>
      <c r="G14" s="106" t="inlineStr">
        <is>
          <t>/</t>
        </is>
      </c>
      <c r="H14" s="106" t="inlineStr">
        <is>
          <t>/</t>
        </is>
      </c>
      <c r="I14" s="106" t="inlineStr">
        <is>
          <t>SW_DF_008</t>
        </is>
      </c>
      <c r="J14" s="106" t="inlineStr">
        <is>
          <t>/</t>
        </is>
      </c>
      <c r="K14" s="106" t="inlineStr">
        <is>
          <t>/</t>
        </is>
      </c>
      <c r="L14" s="106" t="inlineStr">
        <is>
          <t>/</t>
        </is>
      </c>
      <c r="M14" s="105" t="inlineStr">
        <is>
          <t>NA</t>
        </is>
      </c>
      <c r="N14" s="106" t="inlineStr">
        <is>
          <t>/</t>
        </is>
      </c>
      <c r="O14" s="106" t="inlineStr">
        <is>
          <t>/</t>
        </is>
      </c>
      <c r="P14" s="106" t="inlineStr">
        <is>
          <t>/</t>
        </is>
      </c>
      <c r="Q14" s="106" t="inlineStr">
        <is>
          <t>/</t>
        </is>
      </c>
      <c r="R14" s="106" t="inlineStr">
        <is>
          <t>/</t>
        </is>
      </c>
      <c r="S14" s="106" t="inlineStr">
        <is>
          <t>/</t>
        </is>
      </c>
      <c r="T14" s="106" t="inlineStr">
        <is>
          <t>/</t>
        </is>
      </c>
      <c r="U14" s="106" t="inlineStr">
        <is>
          <t>/</t>
        </is>
      </c>
      <c r="V14" s="106" t="inlineStr">
        <is>
          <t>/</t>
        </is>
      </c>
      <c r="W14" s="106" t="inlineStr">
        <is>
          <t>SW_DF_008</t>
        </is>
      </c>
      <c r="X14" s="106" t="inlineStr">
        <is>
          <t>/</t>
        </is>
      </c>
      <c r="Y14" s="106" t="inlineStr">
        <is>
          <t>/</t>
        </is>
      </c>
      <c r="Z14" s="106" t="inlineStr">
        <is>
          <t>/</t>
        </is>
      </c>
    </row>
    <row r="15">
      <c r="A15" s="100" t="inlineStr">
        <is>
          <t>ECU_LicenseLight</t>
        </is>
      </c>
      <c r="B15" s="102" t="inlineStr">
        <is>
          <t>QM</t>
        </is>
      </c>
      <c r="C15" s="106" t="inlineStr">
        <is>
          <t>/</t>
        </is>
      </c>
      <c r="D15" s="106" t="inlineStr">
        <is>
          <t>/</t>
        </is>
      </c>
      <c r="E15" s="106" t="inlineStr">
        <is>
          <t>/</t>
        </is>
      </c>
      <c r="F15" s="106" t="inlineStr">
        <is>
          <t>/</t>
        </is>
      </c>
      <c r="G15" s="106" t="inlineStr">
        <is>
          <t>/</t>
        </is>
      </c>
      <c r="H15" s="106" t="inlineStr">
        <is>
          <t>SW_DF_009</t>
        </is>
      </c>
      <c r="I15" s="106" t="inlineStr">
        <is>
          <t>/</t>
        </is>
      </c>
      <c r="J15" s="106" t="inlineStr">
        <is>
          <t>/</t>
        </is>
      </c>
      <c r="K15" s="106" t="inlineStr">
        <is>
          <t>/</t>
        </is>
      </c>
      <c r="L15" s="106" t="inlineStr">
        <is>
          <t>/</t>
        </is>
      </c>
      <c r="M15" s="106" t="inlineStr">
        <is>
          <t>/</t>
        </is>
      </c>
      <c r="N15" s="105" t="inlineStr">
        <is>
          <t>NA</t>
        </is>
      </c>
      <c r="O15" s="106" t="inlineStr">
        <is>
          <t>/</t>
        </is>
      </c>
      <c r="P15" s="106" t="inlineStr">
        <is>
          <t>/</t>
        </is>
      </c>
      <c r="Q15" s="106" t="inlineStr">
        <is>
          <t>/</t>
        </is>
      </c>
      <c r="R15" s="106" t="inlineStr">
        <is>
          <t>/</t>
        </is>
      </c>
      <c r="S15" s="106" t="inlineStr">
        <is>
          <t>/</t>
        </is>
      </c>
      <c r="T15" s="106" t="inlineStr">
        <is>
          <t>/</t>
        </is>
      </c>
      <c r="U15" s="106" t="inlineStr">
        <is>
          <t>/</t>
        </is>
      </c>
      <c r="V15" s="106" t="inlineStr">
        <is>
          <t>/</t>
        </is>
      </c>
      <c r="W15" s="106" t="inlineStr">
        <is>
          <t>SW_DF_009</t>
        </is>
      </c>
      <c r="X15" s="106" t="inlineStr">
        <is>
          <t>/</t>
        </is>
      </c>
      <c r="Y15" s="106" t="inlineStr">
        <is>
          <t>/</t>
        </is>
      </c>
      <c r="Z15" s="106" t="inlineStr">
        <is>
          <t>/</t>
        </is>
      </c>
    </row>
    <row r="16">
      <c r="A16" s="100" t="inlineStr">
        <is>
          <t>ECU_Voltage</t>
        </is>
      </c>
      <c r="B16" s="104" t="inlineStr">
        <is>
          <t>ASILB</t>
        </is>
      </c>
      <c r="C16" s="106" t="inlineStr">
        <is>
          <t>/</t>
        </is>
      </c>
      <c r="D16" s="106" t="inlineStr">
        <is>
          <t>/</t>
        </is>
      </c>
      <c r="E16" s="106" t="inlineStr">
        <is>
          <t>/</t>
        </is>
      </c>
      <c r="F16" s="106" t="inlineStr">
        <is>
          <t>/</t>
        </is>
      </c>
      <c r="G16" s="106" t="inlineStr">
        <is>
          <t>/</t>
        </is>
      </c>
      <c r="H16" s="106" t="inlineStr">
        <is>
          <t>/</t>
        </is>
      </c>
      <c r="I16" s="106" t="inlineStr">
        <is>
          <t>/</t>
        </is>
      </c>
      <c r="J16" s="106" t="inlineStr">
        <is>
          <t>/</t>
        </is>
      </c>
      <c r="K16" s="106" t="inlineStr">
        <is>
          <t>SW_DF_010</t>
        </is>
      </c>
      <c r="L16" s="106" t="inlineStr">
        <is>
          <t>SW_DF_010</t>
        </is>
      </c>
      <c r="M16" s="106" t="inlineStr">
        <is>
          <t>SW_DF_010</t>
        </is>
      </c>
      <c r="N16" s="106" t="inlineStr">
        <is>
          <t>SW_DF_010</t>
        </is>
      </c>
      <c r="O16" s="105" t="inlineStr">
        <is>
          <t>NA</t>
        </is>
      </c>
      <c r="P16" s="106" t="inlineStr">
        <is>
          <t>SW_DF_010</t>
        </is>
      </c>
      <c r="Q16" s="106" t="inlineStr">
        <is>
          <t>/</t>
        </is>
      </c>
      <c r="R16" s="106" t="inlineStr">
        <is>
          <t>/</t>
        </is>
      </c>
      <c r="S16" s="106" t="inlineStr">
        <is>
          <t>/</t>
        </is>
      </c>
      <c r="T16" s="106" t="inlineStr">
        <is>
          <t>/</t>
        </is>
      </c>
      <c r="U16" s="106" t="inlineStr">
        <is>
          <t>/</t>
        </is>
      </c>
      <c r="V16" s="106" t="inlineStr">
        <is>
          <t>/</t>
        </is>
      </c>
      <c r="W16" s="106" t="inlineStr">
        <is>
          <t>/</t>
        </is>
      </c>
      <c r="X16" s="106" t="inlineStr">
        <is>
          <t>/</t>
        </is>
      </c>
      <c r="Y16" s="106" t="inlineStr">
        <is>
          <t>/</t>
        </is>
      </c>
      <c r="Z16" s="106" t="inlineStr">
        <is>
          <t>/</t>
        </is>
      </c>
    </row>
    <row r="17">
      <c r="A17" s="100" t="inlineStr">
        <is>
          <t>ECU_LampSignalDec</t>
        </is>
      </c>
      <c r="B17" s="102" t="inlineStr">
        <is>
          <t>QM</t>
        </is>
      </c>
      <c r="C17" s="106" t="inlineStr">
        <is>
          <t>/</t>
        </is>
      </c>
      <c r="D17" s="106" t="inlineStr">
        <is>
          <t>/</t>
        </is>
      </c>
      <c r="E17" s="106" t="inlineStr">
        <is>
          <t>/</t>
        </is>
      </c>
      <c r="F17" s="106" t="inlineStr">
        <is>
          <t>/</t>
        </is>
      </c>
      <c r="G17" s="106" t="inlineStr">
        <is>
          <t>/</t>
        </is>
      </c>
      <c r="H17" s="106" t="inlineStr">
        <is>
          <t>/</t>
        </is>
      </c>
      <c r="I17" s="106" t="inlineStr">
        <is>
          <t>SW_DF_011</t>
        </is>
      </c>
      <c r="J17" s="106" t="inlineStr">
        <is>
          <t>/</t>
        </is>
      </c>
      <c r="K17" s="106" t="inlineStr">
        <is>
          <t>/</t>
        </is>
      </c>
      <c r="L17" s="106" t="inlineStr">
        <is>
          <t>/</t>
        </is>
      </c>
      <c r="M17" s="106" t="inlineStr">
        <is>
          <t>/</t>
        </is>
      </c>
      <c r="N17" s="106" t="inlineStr">
        <is>
          <t>/</t>
        </is>
      </c>
      <c r="O17" s="106" t="inlineStr">
        <is>
          <t>/</t>
        </is>
      </c>
      <c r="P17" s="105" t="inlineStr">
        <is>
          <t>NA</t>
        </is>
      </c>
      <c r="Q17" s="106" t="inlineStr">
        <is>
          <t>/</t>
        </is>
      </c>
      <c r="R17" s="106" t="inlineStr">
        <is>
          <t>/</t>
        </is>
      </c>
      <c r="S17" s="106" t="inlineStr">
        <is>
          <t>/</t>
        </is>
      </c>
      <c r="T17" s="106" t="inlineStr">
        <is>
          <t>/</t>
        </is>
      </c>
      <c r="U17" s="106" t="inlineStr">
        <is>
          <t>/</t>
        </is>
      </c>
      <c r="V17" s="106" t="inlineStr">
        <is>
          <t>/</t>
        </is>
      </c>
      <c r="W17" s="106" t="inlineStr">
        <is>
          <t>/</t>
        </is>
      </c>
      <c r="X17" s="106" t="inlineStr">
        <is>
          <t>/</t>
        </is>
      </c>
      <c r="Y17" s="106" t="inlineStr">
        <is>
          <t>/</t>
        </is>
      </c>
      <c r="Z17" s="106" t="inlineStr">
        <is>
          <t>/</t>
        </is>
      </c>
    </row>
    <row r="18">
      <c r="A18" s="100" t="inlineStr">
        <is>
          <t>BCC</t>
        </is>
      </c>
      <c r="B18" s="104" t="inlineStr">
        <is>
          <t>ASILB</t>
        </is>
      </c>
      <c r="C18" s="106" t="inlineStr">
        <is>
          <t>/</t>
        </is>
      </c>
      <c r="D18" s="106" t="inlineStr">
        <is>
          <t>/</t>
        </is>
      </c>
      <c r="E18" s="106" t="inlineStr">
        <is>
          <t>/</t>
        </is>
      </c>
      <c r="F18" s="106" t="inlineStr">
        <is>
          <t>/</t>
        </is>
      </c>
      <c r="G18" s="106" t="inlineStr">
        <is>
          <t>/</t>
        </is>
      </c>
      <c r="H18" s="106" t="inlineStr">
        <is>
          <t>/</t>
        </is>
      </c>
      <c r="I18" s="106" t="inlineStr">
        <is>
          <t>/</t>
        </is>
      </c>
      <c r="J18" s="106" t="inlineStr">
        <is>
          <t>/</t>
        </is>
      </c>
      <c r="K18" s="106" t="inlineStr">
        <is>
          <t>SW_DF_012</t>
        </is>
      </c>
      <c r="L18" s="106" t="inlineStr">
        <is>
          <t>SW_DF_012</t>
        </is>
      </c>
      <c r="M18" s="106" t="inlineStr">
        <is>
          <t>SW_DF_012</t>
        </is>
      </c>
      <c r="N18" s="106" t="inlineStr">
        <is>
          <t>SW_DF_012</t>
        </is>
      </c>
      <c r="O18" s="106" t="inlineStr">
        <is>
          <t>/</t>
        </is>
      </c>
      <c r="P18" s="106" t="inlineStr">
        <is>
          <t>/</t>
        </is>
      </c>
      <c r="Q18" s="105" t="inlineStr">
        <is>
          <t>NA</t>
        </is>
      </c>
      <c r="R18" s="106" t="inlineStr">
        <is>
          <t>/</t>
        </is>
      </c>
      <c r="S18" s="106" t="inlineStr">
        <is>
          <t>/</t>
        </is>
      </c>
      <c r="T18" s="106" t="inlineStr">
        <is>
          <t>/</t>
        </is>
      </c>
      <c r="U18" s="106" t="inlineStr">
        <is>
          <t>/</t>
        </is>
      </c>
      <c r="V18" s="106" t="inlineStr">
        <is>
          <t>/</t>
        </is>
      </c>
      <c r="W18" s="106" t="inlineStr">
        <is>
          <t>/</t>
        </is>
      </c>
      <c r="X18" s="106" t="inlineStr">
        <is>
          <t>/</t>
        </is>
      </c>
      <c r="Y18" s="106" t="inlineStr">
        <is>
          <t>/</t>
        </is>
      </c>
      <c r="Z18" s="106" t="inlineStr">
        <is>
          <t>/</t>
        </is>
      </c>
    </row>
    <row r="19">
      <c r="A19" s="100" t="inlineStr">
        <is>
          <t>LinkerTimeOut</t>
        </is>
      </c>
      <c r="B19" s="104" t="inlineStr">
        <is>
          <t>ASILB</t>
        </is>
      </c>
      <c r="C19" s="106" t="inlineStr">
        <is>
          <t>/</t>
        </is>
      </c>
      <c r="D19" s="106" t="inlineStr">
        <is>
          <t>/</t>
        </is>
      </c>
      <c r="E19" s="106" t="inlineStr">
        <is>
          <t>/</t>
        </is>
      </c>
      <c r="F19" s="106" t="inlineStr">
        <is>
          <t>/</t>
        </is>
      </c>
      <c r="G19" s="106" t="inlineStr">
        <is>
          <t>/</t>
        </is>
      </c>
      <c r="H19" s="106" t="inlineStr">
        <is>
          <t>/</t>
        </is>
      </c>
      <c r="I19" s="106" t="inlineStr">
        <is>
          <t>/</t>
        </is>
      </c>
      <c r="J19" s="106" t="inlineStr">
        <is>
          <t>/</t>
        </is>
      </c>
      <c r="K19" s="106" t="inlineStr">
        <is>
          <t>SW_DF_013</t>
        </is>
      </c>
      <c r="L19" s="106" t="inlineStr">
        <is>
          <t>/</t>
        </is>
      </c>
      <c r="M19" s="106" t="inlineStr">
        <is>
          <t>/</t>
        </is>
      </c>
      <c r="N19" s="106" t="inlineStr">
        <is>
          <t>/</t>
        </is>
      </c>
      <c r="O19" s="106" t="inlineStr">
        <is>
          <t>/</t>
        </is>
      </c>
      <c r="P19" s="106" t="inlineStr">
        <is>
          <t>/</t>
        </is>
      </c>
      <c r="Q19" s="106" t="inlineStr">
        <is>
          <t>/</t>
        </is>
      </c>
      <c r="R19" s="105" t="inlineStr">
        <is>
          <t>NA</t>
        </is>
      </c>
      <c r="S19" s="106" t="inlineStr">
        <is>
          <t>/</t>
        </is>
      </c>
      <c r="T19" s="106" t="inlineStr">
        <is>
          <t>/</t>
        </is>
      </c>
      <c r="U19" s="106" t="inlineStr">
        <is>
          <t>/</t>
        </is>
      </c>
      <c r="V19" s="106" t="inlineStr">
        <is>
          <t>/</t>
        </is>
      </c>
      <c r="W19" s="106" t="inlineStr">
        <is>
          <t>/</t>
        </is>
      </c>
      <c r="X19" s="106" t="inlineStr">
        <is>
          <t>/</t>
        </is>
      </c>
      <c r="Y19" s="106" t="inlineStr">
        <is>
          <t>/</t>
        </is>
      </c>
      <c r="Z19" s="106" t="inlineStr">
        <is>
          <t>/</t>
        </is>
      </c>
    </row>
    <row r="20">
      <c r="A20" s="100" t="inlineStr">
        <is>
          <t>FailSafe</t>
        </is>
      </c>
      <c r="B20" s="104" t="inlineStr">
        <is>
          <t>ASILB</t>
        </is>
      </c>
      <c r="C20" s="106" t="inlineStr">
        <is>
          <t>/</t>
        </is>
      </c>
      <c r="D20" s="106" t="inlineStr">
        <is>
          <t>/</t>
        </is>
      </c>
      <c r="E20" s="106" t="inlineStr">
        <is>
          <t>/</t>
        </is>
      </c>
      <c r="F20" s="106" t="inlineStr">
        <is>
          <t>/</t>
        </is>
      </c>
      <c r="G20" s="106" t="inlineStr">
        <is>
          <t>/</t>
        </is>
      </c>
      <c r="H20" s="106" t="inlineStr">
        <is>
          <t>/</t>
        </is>
      </c>
      <c r="I20" s="106" t="inlineStr">
        <is>
          <t>/</t>
        </is>
      </c>
      <c r="J20" s="106" t="inlineStr">
        <is>
          <t>/</t>
        </is>
      </c>
      <c r="K20" s="106" t="inlineStr">
        <is>
          <t>SW_DF_014</t>
        </is>
      </c>
      <c r="L20" s="106" t="inlineStr">
        <is>
          <t>SW_DF_014</t>
        </is>
      </c>
      <c r="M20" s="106" t="inlineStr">
        <is>
          <t>SW_DF_014</t>
        </is>
      </c>
      <c r="N20" s="106" t="inlineStr">
        <is>
          <t>/</t>
        </is>
      </c>
      <c r="O20" s="106" t="inlineStr">
        <is>
          <t>/</t>
        </is>
      </c>
      <c r="P20" s="106" t="inlineStr">
        <is>
          <t>/</t>
        </is>
      </c>
      <c r="Q20" s="106" t="inlineStr">
        <is>
          <t>/</t>
        </is>
      </c>
      <c r="R20" s="106" t="inlineStr">
        <is>
          <t>/</t>
        </is>
      </c>
      <c r="S20" s="105" t="inlineStr">
        <is>
          <t>NA</t>
        </is>
      </c>
      <c r="T20" s="106" t="inlineStr">
        <is>
          <t>/</t>
        </is>
      </c>
      <c r="U20" s="106" t="inlineStr">
        <is>
          <t>/</t>
        </is>
      </c>
      <c r="V20" s="106" t="inlineStr">
        <is>
          <t>/</t>
        </is>
      </c>
      <c r="W20" s="106" t="inlineStr">
        <is>
          <t>/</t>
        </is>
      </c>
      <c r="X20" s="106" t="inlineStr">
        <is>
          <t>/</t>
        </is>
      </c>
      <c r="Y20" s="106" t="inlineStr">
        <is>
          <t>/</t>
        </is>
      </c>
      <c r="Z20" s="106" t="inlineStr">
        <is>
          <t>SW_DF_014</t>
        </is>
      </c>
    </row>
    <row r="21">
      <c r="A21" s="100" t="inlineStr">
        <is>
          <t>NM_Management</t>
        </is>
      </c>
      <c r="B21" s="102" t="inlineStr">
        <is>
          <t>QM</t>
        </is>
      </c>
      <c r="C21" s="106" t="inlineStr">
        <is>
          <t>/</t>
        </is>
      </c>
      <c r="D21" s="106" t="inlineStr">
        <is>
          <t>/</t>
        </is>
      </c>
      <c r="E21" s="106" t="inlineStr">
        <is>
          <t>/</t>
        </is>
      </c>
      <c r="F21" s="106" t="inlineStr">
        <is>
          <t>/</t>
        </is>
      </c>
      <c r="G21" s="106" t="inlineStr">
        <is>
          <t>/</t>
        </is>
      </c>
      <c r="H21" s="106" t="inlineStr">
        <is>
          <t>/</t>
        </is>
      </c>
      <c r="I21" s="106" t="inlineStr">
        <is>
          <t>/</t>
        </is>
      </c>
      <c r="J21" s="106" t="inlineStr">
        <is>
          <t>/</t>
        </is>
      </c>
      <c r="K21" s="106" t="inlineStr">
        <is>
          <t>/</t>
        </is>
      </c>
      <c r="L21" s="106" t="inlineStr">
        <is>
          <t>/</t>
        </is>
      </c>
      <c r="M21" s="106" t="inlineStr">
        <is>
          <t>/</t>
        </is>
      </c>
      <c r="N21" s="106" t="inlineStr">
        <is>
          <t>/</t>
        </is>
      </c>
      <c r="O21" s="106" t="inlineStr">
        <is>
          <t>/</t>
        </is>
      </c>
      <c r="P21" s="106" t="inlineStr">
        <is>
          <t>/</t>
        </is>
      </c>
      <c r="Q21" s="106" t="inlineStr">
        <is>
          <t>/</t>
        </is>
      </c>
      <c r="R21" s="106" t="inlineStr">
        <is>
          <t>/</t>
        </is>
      </c>
      <c r="S21" s="106" t="inlineStr">
        <is>
          <t>/</t>
        </is>
      </c>
      <c r="T21" s="105" t="inlineStr">
        <is>
          <t>NA</t>
        </is>
      </c>
      <c r="U21" s="106" t="inlineStr">
        <is>
          <t>/</t>
        </is>
      </c>
      <c r="V21" s="106" t="inlineStr">
        <is>
          <t>/</t>
        </is>
      </c>
      <c r="W21" s="106" t="inlineStr">
        <is>
          <t>SW_DF_015</t>
        </is>
      </c>
      <c r="X21" s="106" t="inlineStr">
        <is>
          <t>/</t>
        </is>
      </c>
      <c r="Y21" s="106" t="inlineStr">
        <is>
          <t>/</t>
        </is>
      </c>
      <c r="Z21" s="106" t="inlineStr">
        <is>
          <t>/</t>
        </is>
      </c>
    </row>
    <row r="22">
      <c r="A22" s="100" t="inlineStr">
        <is>
          <t>CANBusOffDeal</t>
        </is>
      </c>
      <c r="B22" s="104" t="inlineStr">
        <is>
          <t>ASILB</t>
        </is>
      </c>
      <c r="C22" s="106" t="inlineStr">
        <is>
          <t>/</t>
        </is>
      </c>
      <c r="D22" s="106" t="inlineStr">
        <is>
          <t>/</t>
        </is>
      </c>
      <c r="E22" s="106" t="inlineStr">
        <is>
          <t>SW_DF_016</t>
        </is>
      </c>
      <c r="F22" s="106" t="inlineStr">
        <is>
          <t>/</t>
        </is>
      </c>
      <c r="G22" s="106" t="inlineStr">
        <is>
          <t>/</t>
        </is>
      </c>
      <c r="H22" s="106" t="inlineStr">
        <is>
          <t>/</t>
        </is>
      </c>
      <c r="I22" s="106" t="inlineStr">
        <is>
          <t>/</t>
        </is>
      </c>
      <c r="J22" s="106" t="inlineStr">
        <is>
          <t>/</t>
        </is>
      </c>
      <c r="K22" s="106" t="inlineStr">
        <is>
          <t>/</t>
        </is>
      </c>
      <c r="L22" s="106" t="inlineStr">
        <is>
          <t>/</t>
        </is>
      </c>
      <c r="M22" s="106" t="inlineStr">
        <is>
          <t>/</t>
        </is>
      </c>
      <c r="N22" s="106" t="inlineStr">
        <is>
          <t>/</t>
        </is>
      </c>
      <c r="O22" s="106" t="inlineStr">
        <is>
          <t>/</t>
        </is>
      </c>
      <c r="P22" s="106" t="inlineStr">
        <is>
          <t>/</t>
        </is>
      </c>
      <c r="Q22" s="106" t="inlineStr">
        <is>
          <t>/</t>
        </is>
      </c>
      <c r="R22" s="106" t="inlineStr">
        <is>
          <t>/</t>
        </is>
      </c>
      <c r="S22" s="106" t="inlineStr">
        <is>
          <t>/</t>
        </is>
      </c>
      <c r="T22" s="106" t="inlineStr">
        <is>
          <t>/</t>
        </is>
      </c>
      <c r="U22" s="105" t="inlineStr">
        <is>
          <t>NA</t>
        </is>
      </c>
      <c r="V22" s="106" t="inlineStr">
        <is>
          <t>/</t>
        </is>
      </c>
      <c r="W22" s="106" t="inlineStr">
        <is>
          <t>/</t>
        </is>
      </c>
      <c r="X22" s="106" t="inlineStr">
        <is>
          <t>/</t>
        </is>
      </c>
      <c r="Y22" s="106" t="inlineStr">
        <is>
          <t>/</t>
        </is>
      </c>
      <c r="Z22" s="106" t="inlineStr">
        <is>
          <t>SW_DF_016</t>
        </is>
      </c>
    </row>
    <row r="23">
      <c r="A23" s="100" t="inlineStr">
        <is>
          <t>CANReceive</t>
        </is>
      </c>
      <c r="B23" s="104" t="inlineStr">
        <is>
          <t>ASILB</t>
        </is>
      </c>
      <c r="C23" s="106" t="inlineStr">
        <is>
          <t>/</t>
        </is>
      </c>
      <c r="D23" s="106" t="inlineStr">
        <is>
          <t>/</t>
        </is>
      </c>
      <c r="E23" s="106" t="inlineStr">
        <is>
          <t>/</t>
        </is>
      </c>
      <c r="F23" s="106" t="inlineStr">
        <is>
          <t>/</t>
        </is>
      </c>
      <c r="G23" s="106" t="inlineStr">
        <is>
          <t>/</t>
        </is>
      </c>
      <c r="H23" s="106" t="inlineStr">
        <is>
          <t>/</t>
        </is>
      </c>
      <c r="I23" s="106" t="inlineStr">
        <is>
          <t>/</t>
        </is>
      </c>
      <c r="J23" s="106" t="inlineStr">
        <is>
          <t>/</t>
        </is>
      </c>
      <c r="K23" s="106" t="inlineStr">
        <is>
          <t>/</t>
        </is>
      </c>
      <c r="L23" s="106" t="inlineStr">
        <is>
          <t>/</t>
        </is>
      </c>
      <c r="M23" s="106" t="inlineStr">
        <is>
          <t>/</t>
        </is>
      </c>
      <c r="N23" s="106" t="inlineStr">
        <is>
          <t>/</t>
        </is>
      </c>
      <c r="O23" s="106" t="inlineStr">
        <is>
          <t>/</t>
        </is>
      </c>
      <c r="P23" s="106" t="inlineStr">
        <is>
          <t>SW_DF_017</t>
        </is>
      </c>
      <c r="Q23" s="106" t="inlineStr">
        <is>
          <t>SW_DF_017</t>
        </is>
      </c>
      <c r="R23" s="106" t="inlineStr">
        <is>
          <t>/</t>
        </is>
      </c>
      <c r="S23" s="106" t="inlineStr">
        <is>
          <t>/</t>
        </is>
      </c>
      <c r="T23" s="106" t="inlineStr">
        <is>
          <t>SW_DF_017</t>
        </is>
      </c>
      <c r="U23" s="106" t="inlineStr">
        <is>
          <t>/</t>
        </is>
      </c>
      <c r="V23" s="105" t="inlineStr">
        <is>
          <t>NA</t>
        </is>
      </c>
      <c r="W23" s="106" t="inlineStr">
        <is>
          <t>/</t>
        </is>
      </c>
      <c r="X23" s="106" t="inlineStr">
        <is>
          <t>/</t>
        </is>
      </c>
      <c r="Y23" s="106" t="inlineStr">
        <is>
          <t>/</t>
        </is>
      </c>
      <c r="Z23" s="106" t="inlineStr">
        <is>
          <t>/</t>
        </is>
      </c>
    </row>
    <row r="24">
      <c r="A24" s="100" t="inlineStr">
        <is>
          <t>CANTrans</t>
        </is>
      </c>
      <c r="B24" s="104" t="inlineStr">
        <is>
          <t>ASILB</t>
        </is>
      </c>
      <c r="C24" s="106" t="inlineStr">
        <is>
          <t>/</t>
        </is>
      </c>
      <c r="D24" s="106" t="inlineStr">
        <is>
          <t>/</t>
        </is>
      </c>
      <c r="E24" s="106" t="inlineStr">
        <is>
          <t>SW_DF_018</t>
        </is>
      </c>
      <c r="F24" s="106" t="inlineStr">
        <is>
          <t>/</t>
        </is>
      </c>
      <c r="G24" s="106" t="inlineStr">
        <is>
          <t>/</t>
        </is>
      </c>
      <c r="H24" s="106" t="inlineStr">
        <is>
          <t>/</t>
        </is>
      </c>
      <c r="I24" s="106" t="inlineStr">
        <is>
          <t>/</t>
        </is>
      </c>
      <c r="J24" s="106" t="inlineStr">
        <is>
          <t>/</t>
        </is>
      </c>
      <c r="K24" s="106" t="inlineStr">
        <is>
          <t>/</t>
        </is>
      </c>
      <c r="L24" s="106" t="inlineStr">
        <is>
          <t>/</t>
        </is>
      </c>
      <c r="M24" s="106" t="inlineStr">
        <is>
          <t>/</t>
        </is>
      </c>
      <c r="N24" s="106" t="inlineStr">
        <is>
          <t>/</t>
        </is>
      </c>
      <c r="O24" s="106" t="inlineStr">
        <is>
          <t>/</t>
        </is>
      </c>
      <c r="P24" s="106" t="inlineStr">
        <is>
          <t>/</t>
        </is>
      </c>
      <c r="Q24" s="106" t="inlineStr">
        <is>
          <t>/</t>
        </is>
      </c>
      <c r="R24" s="106" t="inlineStr">
        <is>
          <t>/</t>
        </is>
      </c>
      <c r="S24" s="106" t="inlineStr">
        <is>
          <t>/</t>
        </is>
      </c>
      <c r="T24" s="106" t="inlineStr">
        <is>
          <t>/</t>
        </is>
      </c>
      <c r="U24" s="106" t="inlineStr">
        <is>
          <t>/</t>
        </is>
      </c>
      <c r="V24" s="106" t="inlineStr">
        <is>
          <t>/</t>
        </is>
      </c>
      <c r="W24" s="105" t="inlineStr">
        <is>
          <t>NA</t>
        </is>
      </c>
      <c r="X24" s="106" t="inlineStr">
        <is>
          <t>/</t>
        </is>
      </c>
      <c r="Y24" s="106" t="inlineStr">
        <is>
          <t>/</t>
        </is>
      </c>
      <c r="Z24" s="106" t="inlineStr">
        <is>
          <t>/</t>
        </is>
      </c>
    </row>
    <row r="25">
      <c r="A25" s="100" t="inlineStr">
        <is>
          <t>UDS Server</t>
        </is>
      </c>
      <c r="B25" s="102" t="inlineStr">
        <is>
          <t>QM</t>
        </is>
      </c>
      <c r="C25" s="106" t="inlineStr">
        <is>
          <t>/</t>
        </is>
      </c>
      <c r="D25" s="106" t="inlineStr">
        <is>
          <t>/</t>
        </is>
      </c>
      <c r="E25" s="106" t="inlineStr">
        <is>
          <t>SW_DF_019</t>
        </is>
      </c>
      <c r="F25" s="106" t="inlineStr">
        <is>
          <t>/</t>
        </is>
      </c>
      <c r="G25" s="106" t="inlineStr">
        <is>
          <t>/</t>
        </is>
      </c>
      <c r="H25" s="106" t="inlineStr">
        <is>
          <t>/</t>
        </is>
      </c>
      <c r="I25" s="106" t="inlineStr">
        <is>
          <t>/</t>
        </is>
      </c>
      <c r="J25" s="106" t="inlineStr">
        <is>
          <t>/</t>
        </is>
      </c>
      <c r="K25" s="106" t="inlineStr">
        <is>
          <t>/</t>
        </is>
      </c>
      <c r="L25" s="106" t="inlineStr">
        <is>
          <t>/</t>
        </is>
      </c>
      <c r="M25" s="106" t="inlineStr">
        <is>
          <t>/</t>
        </is>
      </c>
      <c r="N25" s="106" t="inlineStr">
        <is>
          <t>/</t>
        </is>
      </c>
      <c r="O25" s="106" t="inlineStr">
        <is>
          <t>/</t>
        </is>
      </c>
      <c r="P25" s="106" t="inlineStr">
        <is>
          <t>/</t>
        </is>
      </c>
      <c r="Q25" s="106" t="inlineStr">
        <is>
          <t>/</t>
        </is>
      </c>
      <c r="R25" s="106" t="inlineStr">
        <is>
          <t>/</t>
        </is>
      </c>
      <c r="S25" s="106" t="inlineStr">
        <is>
          <t>/</t>
        </is>
      </c>
      <c r="T25" s="106" t="inlineStr">
        <is>
          <t>/</t>
        </is>
      </c>
      <c r="U25" s="106" t="inlineStr">
        <is>
          <t>/</t>
        </is>
      </c>
      <c r="V25" s="106" t="inlineStr">
        <is>
          <t>/</t>
        </is>
      </c>
      <c r="W25" s="106" t="inlineStr">
        <is>
          <t>/</t>
        </is>
      </c>
      <c r="X25" s="105" t="inlineStr">
        <is>
          <t>NA</t>
        </is>
      </c>
      <c r="Y25" s="106" t="inlineStr">
        <is>
          <t>/</t>
        </is>
      </c>
      <c r="Z25" s="106" t="inlineStr">
        <is>
          <t>/</t>
        </is>
      </c>
    </row>
    <row r="26">
      <c r="A26" s="100" t="inlineStr">
        <is>
          <t>EepromDriver</t>
        </is>
      </c>
      <c r="B26" s="103" t="inlineStr">
        <is>
          <t>ASILA</t>
        </is>
      </c>
      <c r="C26" s="106" t="inlineStr">
        <is>
          <t>/</t>
        </is>
      </c>
      <c r="D26" s="106" t="inlineStr">
        <is>
          <t>SW_DF_020</t>
        </is>
      </c>
      <c r="E26" s="106" t="inlineStr">
        <is>
          <t>/</t>
        </is>
      </c>
      <c r="F26" s="106" t="inlineStr">
        <is>
          <t>/</t>
        </is>
      </c>
      <c r="G26" s="106" t="inlineStr">
        <is>
          <t>/</t>
        </is>
      </c>
      <c r="H26" s="106" t="inlineStr">
        <is>
          <t>/</t>
        </is>
      </c>
      <c r="I26" s="106" t="inlineStr">
        <is>
          <t>/</t>
        </is>
      </c>
      <c r="J26" s="106" t="inlineStr">
        <is>
          <t>/</t>
        </is>
      </c>
      <c r="K26" s="106" t="inlineStr">
        <is>
          <t>/</t>
        </is>
      </c>
      <c r="L26" s="106" t="inlineStr">
        <is>
          <t>/</t>
        </is>
      </c>
      <c r="M26" s="106" t="inlineStr">
        <is>
          <t>/</t>
        </is>
      </c>
      <c r="N26" s="106" t="inlineStr">
        <is>
          <t>/</t>
        </is>
      </c>
      <c r="O26" s="106" t="inlineStr">
        <is>
          <t>/</t>
        </is>
      </c>
      <c r="P26" s="106" t="inlineStr">
        <is>
          <t>/</t>
        </is>
      </c>
      <c r="Q26" s="106" t="inlineStr">
        <is>
          <t>/</t>
        </is>
      </c>
      <c r="R26" s="106" t="inlineStr">
        <is>
          <t>/</t>
        </is>
      </c>
      <c r="S26" s="106" t="inlineStr">
        <is>
          <t>/</t>
        </is>
      </c>
      <c r="T26" s="106" t="inlineStr">
        <is>
          <t>/</t>
        </is>
      </c>
      <c r="U26" s="106" t="inlineStr">
        <is>
          <t>/</t>
        </is>
      </c>
      <c r="V26" s="106" t="inlineStr">
        <is>
          <t>/</t>
        </is>
      </c>
      <c r="W26" s="106" t="inlineStr">
        <is>
          <t>/</t>
        </is>
      </c>
      <c r="X26" s="106" t="inlineStr">
        <is>
          <t>/</t>
        </is>
      </c>
      <c r="Y26" s="105" t="inlineStr">
        <is>
          <t>NA</t>
        </is>
      </c>
      <c r="Z26" s="106" t="inlineStr">
        <is>
          <t>/</t>
        </is>
      </c>
    </row>
    <row r="27">
      <c r="A27" s="100" t="inlineStr">
        <is>
          <t>DEM</t>
        </is>
      </c>
      <c r="B27" s="104" t="inlineStr">
        <is>
          <t>ASILB</t>
        </is>
      </c>
      <c r="C27" s="106" t="inlineStr">
        <is>
          <t>/</t>
        </is>
      </c>
      <c r="D27" s="106" t="inlineStr">
        <is>
          <t>/</t>
        </is>
      </c>
      <c r="E27" s="106" t="inlineStr">
        <is>
          <t>/</t>
        </is>
      </c>
      <c r="F27" s="106" t="inlineStr">
        <is>
          <t>/</t>
        </is>
      </c>
      <c r="G27" s="106" t="inlineStr">
        <is>
          <t>/</t>
        </is>
      </c>
      <c r="H27" s="106" t="inlineStr">
        <is>
          <t>/</t>
        </is>
      </c>
      <c r="I27" s="106" t="inlineStr">
        <is>
          <t>/</t>
        </is>
      </c>
      <c r="J27" s="106" t="inlineStr">
        <is>
          <t>/</t>
        </is>
      </c>
      <c r="K27" s="106" t="inlineStr">
        <is>
          <t>/</t>
        </is>
      </c>
      <c r="L27" s="106" t="inlineStr">
        <is>
          <t>/</t>
        </is>
      </c>
      <c r="M27" s="106" t="inlineStr">
        <is>
          <t>/</t>
        </is>
      </c>
      <c r="N27" s="106" t="inlineStr">
        <is>
          <t>/</t>
        </is>
      </c>
      <c r="O27" s="106" t="inlineStr">
        <is>
          <t>/</t>
        </is>
      </c>
      <c r="P27" s="106" t="inlineStr">
        <is>
          <t>/</t>
        </is>
      </c>
      <c r="Q27" s="106" t="inlineStr">
        <is>
          <t>/</t>
        </is>
      </c>
      <c r="R27" s="106" t="inlineStr">
        <is>
          <t>/</t>
        </is>
      </c>
      <c r="S27" s="106" t="inlineStr">
        <is>
          <t>/</t>
        </is>
      </c>
      <c r="T27" s="106" t="inlineStr">
        <is>
          <t>/</t>
        </is>
      </c>
      <c r="U27" s="106" t="inlineStr">
        <is>
          <t>/</t>
        </is>
      </c>
      <c r="V27" s="106" t="inlineStr">
        <is>
          <t>/</t>
        </is>
      </c>
      <c r="W27" s="106" t="inlineStr">
        <is>
          <t>/</t>
        </is>
      </c>
      <c r="X27" s="106" t="inlineStr">
        <is>
          <t>/</t>
        </is>
      </c>
      <c r="Y27" s="106" t="inlineStr">
        <is>
          <t>SW_DF_021</t>
        </is>
      </c>
      <c r="Z27" s="105" t="inlineStr">
        <is>
          <t>NA</t>
        </is>
      </c>
    </row>
  </sheetData>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B1:O148"/>
  <sheetViews>
    <sheetView zoomScale="85" zoomScaleNormal="85" workbookViewId="0">
      <selection activeCell="D5" sqref="D5"/>
    </sheetView>
  </sheetViews>
  <sheetFormatPr baseColWidth="8" defaultColWidth="10.0833333333333" defaultRowHeight="15"/>
  <cols>
    <col width="3.33333333333333" customWidth="1" style="72" min="1" max="1"/>
    <col width="14.8333333333333" customWidth="1" style="72" min="2" max="2"/>
    <col width="56.0833333333333" customWidth="1" style="72" min="3" max="3"/>
    <col width="32.4166666666667" customWidth="1" style="72" min="4" max="4"/>
    <col width="15.9166666666667" customWidth="1" style="72" min="5" max="5"/>
    <col width="10.4166666666667" customWidth="1" style="72" min="6" max="6"/>
    <col width="9.58333333333333" customWidth="1" style="72" min="7" max="8"/>
    <col width="10.25" customWidth="1" style="73" min="9" max="9"/>
    <col width="8.25" customWidth="1" style="72" min="10" max="10"/>
    <col width="13.1666666666667" customWidth="1" style="72" min="11" max="11"/>
    <col width="10.4166666666667" customWidth="1" style="73" min="12" max="12"/>
    <col width="11.75" customWidth="1" style="72" min="13" max="14"/>
    <col width="13.5833333333333" customWidth="1" style="72" min="15" max="15"/>
    <col width="8.08333333333333" customWidth="1" style="72" min="16" max="257"/>
    <col width="10.0833333333333" customWidth="1" style="72" min="258" max="16384"/>
  </cols>
  <sheetData>
    <row r="1" ht="17.5" customHeight="1">
      <c r="B1" s="74" t="inlineStr">
        <is>
          <t>DFA Top Event From FFI/Independent</t>
        </is>
      </c>
      <c r="C1" s="158" t="n"/>
      <c r="D1" s="75" t="n"/>
    </row>
    <row r="2" ht="134" customHeight="1">
      <c r="B2" s="76" t="inlineStr">
        <is>
          <t>"I":Independce.
[ISO26262-9-2018] Freedom from interference and absence of common cause failures are used to justify independence when performing ASIL decomposition
"F":Freedom from interference.
[ISO26262-9-2018] Freedom from interference is used to justify the coexistence of elements with different, or no, assigned ASIL.
"O": No need to disguss.</t>
        </is>
      </c>
      <c r="C2" s="166" t="n"/>
      <c r="D2" s="77" t="n"/>
      <c r="F2" s="78" t="inlineStr">
        <is>
          <t>共因</t>
        </is>
      </c>
      <c r="G2" s="78" t="inlineStr">
        <is>
          <t>级联</t>
        </is>
      </c>
      <c r="H2" s="78" t="n"/>
    </row>
    <row r="3" ht="101" customFormat="1" customHeight="1" s="70">
      <c r="B3" s="79" t="inlineStr">
        <is>
          <t>Top EventID</t>
        </is>
      </c>
      <c r="C3" s="79" t="inlineStr">
        <is>
          <t>Event Description</t>
        </is>
      </c>
      <c r="D3" s="79" t="inlineStr">
        <is>
          <t>Function  Description</t>
        </is>
      </c>
      <c r="E3" s="79" t="inlineStr">
        <is>
          <t xml:space="preserve">ASIL </t>
        </is>
      </c>
      <c r="F3" s="80" t="inlineStr">
        <is>
          <t>common cause failure ?</t>
        </is>
      </c>
      <c r="G3" s="80" t="inlineStr">
        <is>
          <t>cascading failure ?</t>
        </is>
      </c>
      <c r="H3" s="80" t="inlineStr">
        <is>
          <t>﻿coexistence-
Freedom from interface?</t>
        </is>
      </c>
      <c r="I3" s="81" t="inlineStr">
        <is>
          <t>— similar and dissimilar redundant elements; (功能冗余，分解)</t>
        </is>
      </c>
      <c r="J3" s="82" t="inlineStr">
        <is>
          <t>— ASIL decomposition（分解）</t>
        </is>
      </c>
      <c r="K3" s="82" t="inlineStr">
        <is>
          <t>— different functions implemented with identical software or hardware elements;(同一个集成模块）</t>
        </is>
      </c>
      <c r="L3" s="83" t="inlineStr">
        <is>
          <t>— functions and their respective safety mechanisms;（分解）</t>
        </is>
      </c>
      <c r="M3" s="82" t="inlineStr">
        <is>
          <t>— partitions of functions or software elements;(QM, ASIL  FFI)</t>
        </is>
      </c>
      <c r="N3" s="82" t="inlineStr">
        <is>
          <t>— physical distance between hardware elements, with or without a barrier; and</t>
        </is>
      </c>
      <c r="O3" s="82" t="inlineStr">
        <is>
          <t>— common external resources.（按照最高等级开发）</t>
        </is>
      </c>
    </row>
    <row r="4" ht="60" customHeight="1">
      <c r="B4" s="84" t="inlineStr">
        <is>
          <t>SW_DF_001</t>
        </is>
      </c>
      <c r="C4" s="84" t="inlineStr">
        <is>
          <t>SysClk:SPI &amp; CAN &amp; ADC &amp; WDG &amp; GPIO &amp; PWM &amp;NVM</t>
        </is>
      </c>
      <c r="D4" s="84" t="inlineStr">
        <is>
          <t>时钟失效的时候SPI,CAN,ADC,WDG,GPIO,PWM,NVM模块均失效</t>
        </is>
      </c>
      <c r="E4" s="85" t="inlineStr">
        <is>
          <t xml:space="preserve">ASILA &amp; ASILA &amp; ASILB &amp; ASILB &amp; ASILB &amp; ASILB &amp; ASILB &amp; ASILB  </t>
        </is>
      </c>
      <c r="F4" s="86" t="inlineStr">
        <is>
          <t>Y</t>
        </is>
      </c>
      <c r="G4" s="86" t="inlineStr">
        <is>
          <t>N</t>
        </is>
      </c>
      <c r="H4" s="86" t="inlineStr">
        <is>
          <t>N</t>
        </is>
      </c>
      <c r="I4" s="86" t="n"/>
      <c r="J4" s="87" t="n"/>
      <c r="K4" s="87" t="n"/>
      <c r="L4" s="86" t="inlineStr">
        <is>
          <t>Y</t>
        </is>
      </c>
      <c r="M4" s="87" t="n"/>
      <c r="N4" s="87" t="n"/>
      <c r="O4" s="87" t="n"/>
    </row>
    <row r="5" ht="39" customHeight="1">
      <c r="B5" s="84" t="inlineStr">
        <is>
          <t>SW_DF_002</t>
        </is>
      </c>
      <c r="C5" s="84" t="inlineStr">
        <is>
          <t>CAN :LinkerTimeOut</t>
        </is>
      </c>
      <c r="D5" s="84" t="inlineStr">
        <is>
          <t>CAN模块失效的时候LinkerTimeOut开始进行通信丢失检测</t>
        </is>
      </c>
      <c r="E5" s="85" t="inlineStr">
        <is>
          <t>ASILB &amp; ASILB</t>
        </is>
      </c>
      <c r="F5" s="86" t="inlineStr">
        <is>
          <t>Y</t>
        </is>
      </c>
      <c r="G5" s="86" t="inlineStr">
        <is>
          <t>N</t>
        </is>
      </c>
      <c r="H5" s="86" t="inlineStr">
        <is>
          <t>N</t>
        </is>
      </c>
      <c r="I5" s="86" t="n"/>
      <c r="J5" s="87" t="n"/>
      <c r="K5" s="87" t="n"/>
      <c r="L5" s="86" t="n"/>
      <c r="M5" s="87" t="n"/>
      <c r="N5" s="87" t="n"/>
      <c r="O5" s="87" t="n"/>
    </row>
    <row r="6" ht="39" customHeight="1">
      <c r="B6" s="84" t="inlineStr">
        <is>
          <t>SW_DF_003</t>
        </is>
      </c>
      <c r="C6" s="84" t="inlineStr">
        <is>
          <t>ADC :ECU_Voltage</t>
        </is>
      </c>
      <c r="D6" s="84" t="inlineStr">
        <is>
          <t>ADC模块失效后导致电源管理模块失效</t>
        </is>
      </c>
      <c r="E6" s="85" t="inlineStr">
        <is>
          <t xml:space="preserve"> ASILB &amp; ASILB &amp; ASILB </t>
        </is>
      </c>
      <c r="F6" s="86" t="inlineStr">
        <is>
          <t>N</t>
        </is>
      </c>
      <c r="G6" s="86" t="inlineStr">
        <is>
          <t>Y</t>
        </is>
      </c>
      <c r="H6" s="86" t="inlineStr">
        <is>
          <t>N</t>
        </is>
      </c>
      <c r="I6" s="86" t="n"/>
      <c r="J6" s="87" t="n"/>
      <c r="K6" s="87" t="n"/>
      <c r="L6" s="86" t="n"/>
      <c r="M6" s="87" t="n"/>
      <c r="N6" s="87" t="n"/>
      <c r="O6" s="87" t="n"/>
    </row>
    <row r="7" ht="52" customHeight="1">
      <c r="B7" s="84" t="inlineStr">
        <is>
          <t>SW_DF_004</t>
        </is>
      </c>
      <c r="C7" s="84" t="inlineStr">
        <is>
          <t>GPIO:ECU_PosBreak &amp; FailSafe</t>
        </is>
      </c>
      <c r="D7" s="84" t="inlineStr">
        <is>
          <t>GPIO模块失效后位置制动控制模块无法检测硬线制动输入;
GPIO模块失效后故障检测模块无法实时检测到功能故障反馈进行故障检测和故障恢复</t>
        </is>
      </c>
      <c r="E7" s="85" t="inlineStr">
        <is>
          <t xml:space="preserve"> ASILB &amp; ASILB &amp; ASILB </t>
        </is>
      </c>
      <c r="F7" s="86" t="inlineStr">
        <is>
          <t>Y</t>
        </is>
      </c>
      <c r="G7" s="86" t="inlineStr">
        <is>
          <t>N</t>
        </is>
      </c>
      <c r="H7" s="86" t="inlineStr">
        <is>
          <t>N</t>
        </is>
      </c>
      <c r="I7" s="86" t="n"/>
      <c r="J7" s="87" t="n"/>
      <c r="K7" s="87" t="n"/>
      <c r="L7" s="86" t="n"/>
      <c r="M7" s="87" t="n"/>
      <c r="N7" s="87" t="n"/>
      <c r="O7" s="87" t="n"/>
    </row>
    <row r="8" ht="60" customHeight="1">
      <c r="B8" s="84" t="inlineStr">
        <is>
          <t>SW_DF_005</t>
        </is>
      </c>
      <c r="C8" s="84" t="inlineStr">
        <is>
          <t>NVM:SPI &amp; CAN &amp; ADC &amp; WDG &amp; GPIO &amp; PWM</t>
        </is>
      </c>
      <c r="D8" s="88" t="inlineStr">
        <is>
          <t>NVM模块失效后SPI,CAN,ADC,WDG,GPIO,PWM模块均失效</t>
        </is>
      </c>
      <c r="E8" s="85" t="inlineStr">
        <is>
          <t xml:space="preserve"> ASILB &amp; ASILA &amp; ASILB &amp; ASILB &amp; ASILB &amp; ASILB &amp; ASILB  </t>
        </is>
      </c>
      <c r="F8" s="86" t="inlineStr">
        <is>
          <t>Y</t>
        </is>
      </c>
      <c r="G8" s="86" t="inlineStr">
        <is>
          <t>N</t>
        </is>
      </c>
      <c r="H8" s="86" t="inlineStr">
        <is>
          <t>N</t>
        </is>
      </c>
      <c r="I8" s="86" t="n"/>
      <c r="J8" s="87" t="n"/>
      <c r="K8" s="87" t="n"/>
      <c r="L8" s="86" t="n"/>
      <c r="M8" s="87" t="n"/>
      <c r="N8" s="87" t="n"/>
      <c r="O8" s="87" t="n"/>
    </row>
    <row r="9" ht="52" customHeight="1">
      <c r="B9" s="84" t="inlineStr">
        <is>
          <t>SW_DF_006</t>
        </is>
      </c>
      <c r="C9" s="84" t="inlineStr">
        <is>
          <t>ECU_PosBreak :PWM &amp; CANTrans</t>
        </is>
      </c>
      <c r="D9" s="88" t="inlineStr">
        <is>
          <t>位置制动控制模块失效后无法按预期给PWM模块输入；
位置制动控制模块失效后无法给CANTrans模块输入位置制动功能状态信号和故障信号</t>
        </is>
      </c>
      <c r="E9" s="85" t="inlineStr">
        <is>
          <t xml:space="preserve"> ASILB &amp; ASILB &amp; ASILB </t>
        </is>
      </c>
      <c r="F9" s="86" t="inlineStr">
        <is>
          <t>N</t>
        </is>
      </c>
      <c r="G9" s="86" t="inlineStr">
        <is>
          <t>Y</t>
        </is>
      </c>
      <c r="H9" s="86" t="inlineStr">
        <is>
          <t>N</t>
        </is>
      </c>
      <c r="I9" s="86" t="n"/>
      <c r="J9" s="87" t="n"/>
      <c r="K9" s="87" t="n"/>
      <c r="L9" s="86" t="n"/>
      <c r="M9" s="87" t="n"/>
      <c r="N9" s="87" t="n"/>
      <c r="O9" s="87" t="n"/>
    </row>
    <row r="10" ht="52" customHeight="1">
      <c r="B10" s="84" t="inlineStr">
        <is>
          <t>SW_DF_007</t>
        </is>
      </c>
      <c r="C10" s="84" t="inlineStr">
        <is>
          <t>ECU_TurnLight :PWM &amp; CANTrans</t>
        </is>
      </c>
      <c r="D10" s="88" t="inlineStr">
        <is>
          <t>转向灯控制模块失效后无法按预期给PWM模块输入；
转向控制模块失效后无法给CANTrans模块输入转向灯功能状态信号和故障信号</t>
        </is>
      </c>
      <c r="E10" s="85" t="inlineStr">
        <is>
          <t xml:space="preserve"> ASILA &amp; ASILB &amp; ASILB </t>
        </is>
      </c>
      <c r="F10" s="86" t="inlineStr">
        <is>
          <t>N</t>
        </is>
      </c>
      <c r="G10" s="86" t="inlineStr">
        <is>
          <t>Y</t>
        </is>
      </c>
      <c r="H10" s="86" t="inlineStr">
        <is>
          <t>N</t>
        </is>
      </c>
      <c r="I10" s="86" t="n"/>
      <c r="J10" s="87" t="n"/>
      <c r="K10" s="87" t="n"/>
      <c r="L10" s="86" t="n"/>
      <c r="M10" s="87" t="n"/>
      <c r="N10" s="87" t="n"/>
      <c r="O10" s="87" t="n"/>
    </row>
    <row r="11" ht="65" customHeight="1">
      <c r="B11" s="84" t="inlineStr">
        <is>
          <t>SW_DF_008</t>
        </is>
      </c>
      <c r="C11" s="84" t="inlineStr">
        <is>
          <t>ECU_ReverseLight :PWM &amp; CANTrans</t>
        </is>
      </c>
      <c r="D11" s="88" t="inlineStr">
        <is>
          <t>倒车灯控制模块失效后无法给PWM模块输入导致倒车灯无法按预期点亮关闭
倒车灯控制模块失效后无法给CANTrans模块输入导致无法实时对外反馈倒车灯功能的故障和执行情况</t>
        </is>
      </c>
      <c r="E11" s="85" t="inlineStr">
        <is>
          <t xml:space="preserve"> ASILA &amp; ASILB &amp; ASILB </t>
        </is>
      </c>
      <c r="F11" s="86" t="inlineStr">
        <is>
          <t>N</t>
        </is>
      </c>
      <c r="G11" s="86" t="inlineStr">
        <is>
          <t>Y</t>
        </is>
      </c>
      <c r="H11" s="86" t="inlineStr">
        <is>
          <t>N</t>
        </is>
      </c>
      <c r="I11" s="86" t="n"/>
      <c r="J11" s="87" t="n"/>
      <c r="K11" s="87" t="n"/>
      <c r="L11" s="86" t="n"/>
      <c r="M11" s="87" t="n"/>
      <c r="N11" s="87" t="n"/>
      <c r="O11" s="87" t="n"/>
    </row>
    <row r="12" ht="65" customHeight="1">
      <c r="B12" s="84" t="inlineStr">
        <is>
          <t>SW_DF_009</t>
        </is>
      </c>
      <c r="C12" s="84" t="inlineStr">
        <is>
          <t>ECU_LicenseLight :GPIO &amp; CANTrans</t>
        </is>
      </c>
      <c r="D12" s="88" t="inlineStr">
        <is>
          <t>牌照灯控制模块失效后无法给GPIO模块输入导致牌照灯无法按预期点亮关闭
牌照灯控制模块失效后无法给CANTrans模块输入导致无法实时对外反馈牌照灯功能的执行情况</t>
        </is>
      </c>
      <c r="E12" s="85" t="inlineStr">
        <is>
          <t xml:space="preserve">QM &amp; ASILB &amp; ASILB </t>
        </is>
      </c>
      <c r="F12" s="86" t="inlineStr">
        <is>
          <t>N</t>
        </is>
      </c>
      <c r="G12" s="86" t="inlineStr">
        <is>
          <t>Y</t>
        </is>
      </c>
      <c r="H12" s="86" t="inlineStr">
        <is>
          <t>N</t>
        </is>
      </c>
      <c r="I12" s="86" t="n"/>
      <c r="J12" s="87" t="n"/>
      <c r="K12" s="87" t="n"/>
      <c r="L12" s="86" t="n"/>
      <c r="M12" s="87" t="n"/>
      <c r="N12" s="87" t="n"/>
      <c r="O12" s="87" t="n"/>
    </row>
    <row r="13" ht="52" customHeight="1">
      <c r="B13" s="84" t="inlineStr">
        <is>
          <t>SW_DF_010</t>
        </is>
      </c>
      <c r="C13" s="84" t="inlineStr">
        <is>
          <t>ECU_Voltage:ECU_PosBreak &amp; ECU_TurnLight &amp; ECU_ReverseLight &amp; ECU_LicenseLight</t>
        </is>
      </c>
      <c r="D13" s="88" t="inlineStr">
        <is>
          <t>电源管理模块失效后可能导致电压检测异常造成位置制动控制模块，转向灯控制模块，倒车灯控制模块，牌照灯控制模块无法执行功能输出</t>
        </is>
      </c>
      <c r="E13" s="85" t="inlineStr">
        <is>
          <t xml:space="preserve"> ASILB &amp; ASILB &amp; ASILA &amp; ASILA &amp; QM </t>
        </is>
      </c>
      <c r="F13" s="86" t="inlineStr">
        <is>
          <t>N</t>
        </is>
      </c>
      <c r="G13" s="86" t="inlineStr">
        <is>
          <t>Y</t>
        </is>
      </c>
      <c r="H13" s="86" t="inlineStr">
        <is>
          <t>N</t>
        </is>
      </c>
      <c r="I13" s="86" t="n"/>
      <c r="J13" s="87" t="n"/>
      <c r="K13" s="87" t="n"/>
      <c r="L13" s="86" t="n"/>
      <c r="M13" s="87" t="n"/>
      <c r="N13" s="87" t="n"/>
      <c r="O13" s="87" t="n"/>
    </row>
    <row r="14" ht="39" customHeight="1">
      <c r="B14" s="84" t="inlineStr">
        <is>
          <t>SW_DF_011</t>
        </is>
      </c>
      <c r="C14" s="84" t="inlineStr">
        <is>
          <t>ECU_LampSignalDec:PWM</t>
        </is>
      </c>
      <c r="D14" s="88" t="inlineStr">
        <is>
          <t>仪式感模块失效后导致无法控制PWM模块实现动画效果</t>
        </is>
      </c>
      <c r="E14" s="87" t="inlineStr">
        <is>
          <t>QM&amp;ASILB</t>
        </is>
      </c>
      <c r="F14" s="86" t="inlineStr">
        <is>
          <t>N</t>
        </is>
      </c>
      <c r="G14" s="86" t="inlineStr">
        <is>
          <t>Y</t>
        </is>
      </c>
      <c r="H14" s="86" t="inlineStr">
        <is>
          <t>N</t>
        </is>
      </c>
      <c r="I14" s="86" t="n"/>
      <c r="J14" s="87" t="n"/>
      <c r="K14" s="87" t="n"/>
      <c r="L14" s="86" t="n"/>
      <c r="M14" s="87" t="n"/>
      <c r="N14" s="87" t="n"/>
      <c r="O14" s="87" t="n"/>
    </row>
    <row r="15" ht="52" customHeight="1">
      <c r="B15" s="84" t="inlineStr">
        <is>
          <t>SW_DF_012</t>
        </is>
      </c>
      <c r="C15" s="84" t="inlineStr">
        <is>
          <t>BCC:ECU_PosBreak &amp; ECU_TurnLight &amp; ECU_ReverseLight &amp; ECU_LicenseLight</t>
        </is>
      </c>
      <c r="D15" s="88" t="inlineStr">
        <is>
          <t>BCC模块失效后可能导致报文校验异常造成位置制动控制模块，转向灯控制模块，倒车灯控制模块，牌照灯控制模块无法接收CAN指令执行功能输出</t>
        </is>
      </c>
      <c r="E15" s="85" t="inlineStr">
        <is>
          <t xml:space="preserve"> ASILB &amp; ASILB &amp; ASILA  &amp; ASILA &amp; QM</t>
        </is>
      </c>
      <c r="F15" s="86" t="inlineStr">
        <is>
          <t>N</t>
        </is>
      </c>
      <c r="G15" s="86" t="inlineStr">
        <is>
          <t>Y</t>
        </is>
      </c>
      <c r="H15" s="86" t="inlineStr">
        <is>
          <t>N</t>
        </is>
      </c>
      <c r="I15" s="86" t="n"/>
      <c r="J15" s="87" t="n"/>
      <c r="K15" s="87" t="n"/>
      <c r="L15" s="86" t="n"/>
      <c r="M15" s="87" t="n"/>
      <c r="N15" s="87" t="n"/>
      <c r="O15" s="87" t="n"/>
    </row>
    <row r="16" ht="39" customHeight="1">
      <c r="B16" s="84" t="inlineStr">
        <is>
          <t>SW_DF_013</t>
        </is>
      </c>
      <c r="C16" s="84" t="inlineStr">
        <is>
          <t>LinkerTimeOut：ECU_PosBreak</t>
        </is>
      </c>
      <c r="D16" s="88" t="inlineStr">
        <is>
          <t>LinkerTimeOut模块失效后会导致在异常通信丢失的情况下无法检测到通信问题，传递给位置制动控制模块</t>
        </is>
      </c>
      <c r="E16" s="85" t="inlineStr">
        <is>
          <t xml:space="preserve"> ASILB &amp; ASILB </t>
        </is>
      </c>
      <c r="F16" s="86" t="inlineStr">
        <is>
          <t>N</t>
        </is>
      </c>
      <c r="G16" s="86" t="inlineStr">
        <is>
          <t>Y</t>
        </is>
      </c>
      <c r="H16" s="86" t="inlineStr">
        <is>
          <t>N</t>
        </is>
      </c>
      <c r="I16" s="86" t="n"/>
      <c r="J16" s="87" t="n"/>
      <c r="K16" s="87" t="n"/>
      <c r="L16" s="86" t="n"/>
      <c r="M16" s="87" t="n"/>
      <c r="N16" s="87" t="n"/>
      <c r="O16" s="87" t="n"/>
    </row>
    <row r="17" ht="52" customHeight="1">
      <c r="B17" s="84" t="inlineStr">
        <is>
          <t>SW_DF_014</t>
        </is>
      </c>
      <c r="C17" s="84" t="inlineStr">
        <is>
          <t>FailSafe：ECU_PosBreak &amp; ECU_TurnLight &amp; ECU_ReverseLight &amp;DEM</t>
        </is>
      </c>
      <c r="D17" s="88" t="inlineStr">
        <is>
          <t>故障检测模块失效后可能导致功能故障情况下无法识别到故障并报警
故障检测模块失效后可能故障情况下无法识别到故障并记录</t>
        </is>
      </c>
      <c r="E17" s="85" t="inlineStr">
        <is>
          <t xml:space="preserve"> ASILB &amp; ASILB &amp;ASILA &amp; ASILA &amp; ASILB </t>
        </is>
      </c>
      <c r="F17" s="86" t="inlineStr">
        <is>
          <t>Y</t>
        </is>
      </c>
      <c r="G17" s="86" t="inlineStr">
        <is>
          <t>N</t>
        </is>
      </c>
      <c r="H17" s="86" t="inlineStr">
        <is>
          <t>N</t>
        </is>
      </c>
      <c r="I17" s="86" t="n"/>
      <c r="J17" s="87" t="n"/>
      <c r="K17" s="87" t="n"/>
      <c r="L17" s="86" t="n"/>
      <c r="M17" s="87" t="n"/>
      <c r="N17" s="87" t="n"/>
      <c r="O17" s="87" t="n"/>
    </row>
    <row r="18" ht="39" customHeight="1">
      <c r="B18" s="84" t="inlineStr">
        <is>
          <t>SW_DF_015</t>
        </is>
      </c>
      <c r="C18" s="84" t="inlineStr">
        <is>
          <t>NM_Management：CANTrans</t>
        </is>
      </c>
      <c r="D18" s="84" t="inlineStr">
        <is>
          <t>网络管理模块失效后无法实时传递网络信号给CANTrans模块</t>
        </is>
      </c>
      <c r="E18" s="87" t="inlineStr">
        <is>
          <t xml:space="preserve">QM &amp; ASILB </t>
        </is>
      </c>
      <c r="F18" s="86" t="inlineStr">
        <is>
          <t>N</t>
        </is>
      </c>
      <c r="G18" s="86" t="inlineStr">
        <is>
          <t>Y</t>
        </is>
      </c>
      <c r="H18" s="86" t="inlineStr">
        <is>
          <t>N</t>
        </is>
      </c>
      <c r="I18" s="86" t="n"/>
      <c r="J18" s="87" t="n"/>
      <c r="K18" s="87" t="n"/>
      <c r="L18" s="86" t="n"/>
      <c r="M18" s="87" t="n"/>
      <c r="N18" s="87" t="n"/>
      <c r="O18" s="87" t="n"/>
    </row>
    <row r="19" ht="52" customHeight="1">
      <c r="B19" s="84" t="inlineStr">
        <is>
          <t>SW_DF_016</t>
        </is>
      </c>
      <c r="C19" s="84" t="inlineStr">
        <is>
          <t>CANBusOffDeal：CAN &amp; DEM</t>
        </is>
      </c>
      <c r="D19" s="84" t="inlineStr">
        <is>
          <t>CAN BusOff故障处理模块失效后无法在Busoff的情况下进行CAN故障恢复
CAN BusOff故障处理模块失效后无法传递故障情况给DEM模块进行记录</t>
        </is>
      </c>
      <c r="E19" s="85" t="inlineStr">
        <is>
          <t xml:space="preserve"> ASILB &amp; ASILB &amp; ASILB </t>
        </is>
      </c>
      <c r="F19" s="86" t="inlineStr">
        <is>
          <t>Y</t>
        </is>
      </c>
      <c r="G19" s="86" t="inlineStr">
        <is>
          <t>N</t>
        </is>
      </c>
      <c r="H19" s="86" t="inlineStr">
        <is>
          <t>N</t>
        </is>
      </c>
      <c r="I19" s="86" t="n"/>
      <c r="J19" s="87" t="n"/>
      <c r="K19" s="87" t="n"/>
      <c r="L19" s="86" t="n"/>
      <c r="M19" s="87" t="n"/>
      <c r="N19" s="87" t="n"/>
      <c r="O19" s="87" t="n"/>
    </row>
    <row r="20" ht="52" customHeight="1">
      <c r="B20" s="84" t="inlineStr">
        <is>
          <t>SW_DF_017</t>
        </is>
      </c>
      <c r="C20" s="84" t="inlineStr">
        <is>
          <t>CANReceive：BCC &amp; NM_Management</t>
        </is>
      </c>
      <c r="D20" s="84" t="inlineStr">
        <is>
          <t>CAN解析模块故障后无法传递CAN原始信号给BCC模块进行报文校验；
CAN解析模块故障后无法传递网络管理信号给网络管理模块进行网络状态处理；</t>
        </is>
      </c>
      <c r="E20" s="85" t="inlineStr">
        <is>
          <t xml:space="preserve"> ASILB &amp; ASILB &amp; QM</t>
        </is>
      </c>
      <c r="F20" s="86" t="inlineStr">
        <is>
          <t>Y</t>
        </is>
      </c>
      <c r="G20" s="86" t="inlineStr">
        <is>
          <t>N</t>
        </is>
      </c>
      <c r="H20" s="86" t="inlineStr">
        <is>
          <t>N</t>
        </is>
      </c>
      <c r="I20" s="86" t="n"/>
      <c r="J20" s="87" t="n"/>
      <c r="K20" s="87" t="n"/>
      <c r="L20" s="86" t="n"/>
      <c r="M20" s="87" t="n"/>
      <c r="N20" s="87" t="n"/>
      <c r="O20" s="87" t="n"/>
    </row>
    <row r="21" ht="39" customHeight="1">
      <c r="B21" s="84" t="inlineStr">
        <is>
          <t>SW_DF_018</t>
        </is>
      </c>
      <c r="C21" s="84" t="inlineStr">
        <is>
          <t>CANTrans：CAN</t>
        </is>
      </c>
      <c r="D21" s="84" t="inlineStr">
        <is>
          <t>CAN传输组包模块失效后无法传递灯具的CAN信号给CAN模块对外发送</t>
        </is>
      </c>
      <c r="E21" s="85" t="inlineStr">
        <is>
          <t xml:space="preserve"> ASILB &amp; ASILB </t>
        </is>
      </c>
      <c r="F21" s="86" t="inlineStr">
        <is>
          <t>N</t>
        </is>
      </c>
      <c r="G21" s="86" t="inlineStr">
        <is>
          <t>Y</t>
        </is>
      </c>
      <c r="H21" s="86" t="inlineStr">
        <is>
          <t>N</t>
        </is>
      </c>
      <c r="I21" s="86" t="n"/>
      <c r="J21" s="87" t="n"/>
      <c r="K21" s="87" t="n"/>
      <c r="L21" s="86" t="n"/>
      <c r="M21" s="87" t="n"/>
      <c r="N21" s="87" t="n"/>
      <c r="O21" s="87" t="n"/>
    </row>
    <row r="22" ht="39" customHeight="1">
      <c r="B22" s="84" t="inlineStr">
        <is>
          <t>SW_DF_019</t>
        </is>
      </c>
      <c r="C22" s="84" t="inlineStr">
        <is>
          <t>UDS Server：CAN</t>
        </is>
      </c>
      <c r="D22" s="88" t="inlineStr">
        <is>
          <t>统一诊断服务模块失效后无法把诊断服务指令传递给CAN模块发送</t>
        </is>
      </c>
      <c r="E22" s="87" t="inlineStr">
        <is>
          <t xml:space="preserve">QM &amp; ASILB </t>
        </is>
      </c>
      <c r="F22" s="86" t="inlineStr">
        <is>
          <t>N</t>
        </is>
      </c>
      <c r="G22" s="86" t="inlineStr">
        <is>
          <t>Y</t>
        </is>
      </c>
      <c r="H22" s="86" t="inlineStr">
        <is>
          <t>N</t>
        </is>
      </c>
      <c r="I22" s="86" t="n"/>
      <c r="J22" s="87" t="n"/>
      <c r="K22" s="87" t="n"/>
      <c r="L22" s="86" t="n"/>
      <c r="M22" s="87" t="n"/>
      <c r="N22" s="87" t="n"/>
      <c r="O22" s="87" t="n"/>
    </row>
    <row r="23" ht="39" customHeight="1">
      <c r="B23" s="84" t="inlineStr">
        <is>
          <t>SW_DF_020</t>
        </is>
      </c>
      <c r="C23" s="84" t="inlineStr">
        <is>
          <t>EepromDriver：SPI</t>
        </is>
      </c>
      <c r="D23" s="84" t="inlineStr">
        <is>
          <t>外部eeprom驱动控制失效后无法传递eeprom指令给SPI模块接口</t>
        </is>
      </c>
      <c r="E23" s="85" t="inlineStr">
        <is>
          <t xml:space="preserve"> ASILA &amp; ASILA </t>
        </is>
      </c>
      <c r="F23" s="86" t="inlineStr">
        <is>
          <t>N</t>
        </is>
      </c>
      <c r="G23" s="86" t="inlineStr">
        <is>
          <t>Y</t>
        </is>
      </c>
      <c r="H23" s="86" t="inlineStr">
        <is>
          <t>N</t>
        </is>
      </c>
      <c r="I23" s="86" t="n"/>
      <c r="J23" s="87" t="n"/>
      <c r="K23" s="87" t="n"/>
      <c r="L23" s="86" t="n"/>
      <c r="M23" s="87" t="n"/>
      <c r="N23" s="87" t="n"/>
      <c r="O23" s="87" t="n"/>
    </row>
    <row r="24" ht="39" customHeight="1">
      <c r="B24" s="84" t="inlineStr">
        <is>
          <t>SW_DF_021</t>
        </is>
      </c>
      <c r="C24" s="84" t="inlineStr">
        <is>
          <t>DEM:EepromDriver</t>
        </is>
      </c>
      <c r="D24" s="84" t="inlineStr">
        <is>
          <t>故障码管理模块失效导致无法向Eeprom传递有效故障码数据</t>
        </is>
      </c>
      <c r="E24" s="85" t="inlineStr">
        <is>
          <t xml:space="preserve"> ASILB &amp; ASILA </t>
        </is>
      </c>
      <c r="F24" s="86" t="inlineStr">
        <is>
          <t>N</t>
        </is>
      </c>
      <c r="G24" s="86" t="inlineStr">
        <is>
          <t>Y</t>
        </is>
      </c>
      <c r="H24" s="86" t="inlineStr">
        <is>
          <t>N</t>
        </is>
      </c>
      <c r="I24" s="86" t="n"/>
      <c r="J24" s="87" t="n"/>
      <c r="K24" s="87" t="n"/>
      <c r="L24" s="86" t="n"/>
      <c r="M24" s="87" t="n"/>
      <c r="N24" s="87" t="n"/>
      <c r="O24" s="87" t="n"/>
    </row>
    <row r="25" ht="39" customHeight="1">
      <c r="B25" s="84" t="n"/>
      <c r="C25" s="84" t="n"/>
      <c r="D25" s="84" t="n"/>
      <c r="E25" s="87" t="n"/>
      <c r="F25" s="87" t="n"/>
      <c r="G25" s="87" t="n"/>
      <c r="H25" s="87" t="n"/>
      <c r="I25" s="86" t="n"/>
      <c r="J25" s="87" t="n"/>
      <c r="K25" s="87" t="n"/>
      <c r="L25" s="86" t="n"/>
      <c r="M25" s="87" t="n"/>
      <c r="N25" s="87" t="n"/>
      <c r="O25" s="87" t="n"/>
    </row>
    <row r="26" ht="39" customHeight="1">
      <c r="B26" s="84" t="n"/>
      <c r="C26" s="84" t="n"/>
      <c r="D26" s="84" t="n"/>
      <c r="E26" s="87" t="n"/>
      <c r="F26" s="87" t="n"/>
      <c r="G26" s="87" t="n"/>
      <c r="H26" s="87" t="n"/>
      <c r="I26" s="86" t="n"/>
      <c r="J26" s="87" t="n"/>
      <c r="K26" s="87" t="n"/>
      <c r="L26" s="86" t="n"/>
      <c r="M26" s="87" t="n"/>
      <c r="N26" s="87" t="n"/>
      <c r="O26" s="87" t="n"/>
    </row>
    <row r="27" ht="39" customHeight="1">
      <c r="B27" s="84" t="n"/>
      <c r="C27" s="84" t="n"/>
      <c r="D27" s="84" t="n"/>
      <c r="E27" s="87" t="n"/>
      <c r="F27" s="87" t="n"/>
      <c r="G27" s="87" t="n"/>
      <c r="H27" s="87" t="n"/>
      <c r="I27" s="86" t="n"/>
      <c r="J27" s="87" t="n"/>
      <c r="K27" s="87" t="n"/>
      <c r="L27" s="86" t="n"/>
      <c r="M27" s="87" t="n"/>
      <c r="N27" s="87" t="n"/>
      <c r="O27" s="87" t="n"/>
    </row>
    <row r="28" ht="39" customHeight="1">
      <c r="B28" s="84" t="n"/>
      <c r="C28" s="84" t="n"/>
      <c r="D28" s="84" t="n"/>
      <c r="E28" s="87" t="n"/>
      <c r="F28" s="87" t="n"/>
      <c r="G28" s="87" t="n"/>
      <c r="H28" s="87" t="n"/>
      <c r="I28" s="86" t="n"/>
      <c r="J28" s="87" t="n"/>
      <c r="K28" s="87" t="n"/>
      <c r="L28" s="86" t="n"/>
      <c r="M28" s="87" t="n"/>
      <c r="N28" s="87" t="n"/>
      <c r="O28" s="87" t="n"/>
    </row>
    <row r="29" ht="39" customHeight="1">
      <c r="B29" s="84" t="n"/>
      <c r="C29" s="84" t="n"/>
      <c r="D29" s="84" t="n"/>
      <c r="E29" s="87" t="n"/>
      <c r="F29" s="87" t="n"/>
      <c r="G29" s="87" t="n"/>
      <c r="H29" s="87" t="n"/>
      <c r="I29" s="86" t="n"/>
      <c r="J29" s="87" t="n"/>
      <c r="K29" s="87" t="n"/>
      <c r="L29" s="86" t="n"/>
      <c r="M29" s="87" t="n"/>
      <c r="N29" s="87" t="n"/>
      <c r="O29" s="87" t="n"/>
    </row>
    <row r="30" ht="39" customHeight="1">
      <c r="B30" s="84" t="n"/>
      <c r="C30" s="84" t="n"/>
      <c r="D30" s="84" t="n"/>
      <c r="E30" s="87" t="n"/>
      <c r="F30" s="87" t="n"/>
      <c r="G30" s="87" t="n"/>
      <c r="H30" s="87" t="n"/>
      <c r="I30" s="86" t="n"/>
      <c r="J30" s="87" t="n"/>
      <c r="K30" s="87" t="n"/>
      <c r="L30" s="86" t="n"/>
      <c r="M30" s="87" t="n"/>
      <c r="N30" s="87" t="n"/>
      <c r="O30" s="87" t="n"/>
    </row>
    <row r="31" ht="39" customHeight="1">
      <c r="B31" s="84" t="n"/>
      <c r="C31" s="84" t="n"/>
      <c r="D31" s="84" t="n"/>
      <c r="E31" s="87" t="n"/>
      <c r="F31" s="87" t="n"/>
      <c r="G31" s="87" t="n"/>
      <c r="H31" s="87" t="n"/>
      <c r="I31" s="86" t="n"/>
      <c r="J31" s="87" t="n"/>
      <c r="K31" s="87" t="n"/>
      <c r="L31" s="86" t="n"/>
      <c r="M31" s="87" t="n"/>
      <c r="N31" s="87" t="n"/>
      <c r="O31" s="87" t="n"/>
    </row>
    <row r="32" ht="39" customHeight="1">
      <c r="B32" s="84" t="n"/>
      <c r="C32" s="84" t="n"/>
      <c r="D32" s="84" t="n"/>
      <c r="E32" s="87" t="n"/>
      <c r="F32" s="87" t="n"/>
      <c r="G32" s="87" t="n"/>
      <c r="H32" s="87" t="n"/>
      <c r="I32" s="86" t="n"/>
      <c r="J32" s="87" t="n"/>
      <c r="K32" s="87" t="n"/>
      <c r="L32" s="86" t="n"/>
      <c r="M32" s="87" t="n"/>
      <c r="N32" s="87" t="n"/>
      <c r="O32" s="87" t="n"/>
    </row>
    <row r="33" ht="39" customHeight="1">
      <c r="B33" s="84" t="n"/>
      <c r="C33" s="84" t="n"/>
      <c r="D33" s="84" t="n"/>
      <c r="E33" s="87" t="n"/>
      <c r="F33" s="87" t="n"/>
      <c r="G33" s="87" t="n"/>
      <c r="H33" s="87" t="n"/>
      <c r="I33" s="86" t="n"/>
      <c r="J33" s="87" t="n"/>
      <c r="K33" s="87" t="n"/>
      <c r="L33" s="86" t="n"/>
      <c r="M33" s="87" t="n"/>
      <c r="N33" s="87" t="n"/>
      <c r="O33" s="87" t="n"/>
    </row>
    <row r="34" ht="39" customHeight="1">
      <c r="B34" s="84" t="n"/>
      <c r="C34" s="84" t="n"/>
      <c r="D34" s="84" t="n"/>
      <c r="E34" s="87" t="n"/>
      <c r="F34" s="87" t="n"/>
      <c r="G34" s="87" t="n"/>
      <c r="H34" s="87" t="n"/>
      <c r="I34" s="86" t="n"/>
      <c r="J34" s="87" t="n"/>
      <c r="K34" s="87" t="n"/>
      <c r="L34" s="86" t="n"/>
      <c r="M34" s="87" t="n"/>
      <c r="N34" s="87" t="n"/>
      <c r="O34" s="87" t="n"/>
    </row>
    <row r="35" ht="39" customHeight="1">
      <c r="B35" s="84" t="n"/>
      <c r="C35" s="84" t="n"/>
      <c r="D35" s="84" t="n"/>
      <c r="E35" s="87" t="n"/>
      <c r="F35" s="87" t="n"/>
      <c r="G35" s="87" t="n"/>
      <c r="H35" s="87" t="n"/>
      <c r="I35" s="86" t="n"/>
      <c r="J35" s="87" t="n"/>
      <c r="K35" s="87" t="n"/>
      <c r="L35" s="86" t="n"/>
      <c r="M35" s="87" t="n"/>
      <c r="N35" s="87" t="n"/>
      <c r="O35" s="87" t="n"/>
    </row>
    <row r="36" ht="39" customHeight="1">
      <c r="B36" s="84" t="n"/>
      <c r="C36" s="84" t="n"/>
      <c r="D36" s="84" t="n"/>
      <c r="E36" s="87" t="n"/>
      <c r="F36" s="87" t="n"/>
      <c r="G36" s="87" t="n"/>
      <c r="H36" s="87" t="n"/>
      <c r="I36" s="86" t="n"/>
      <c r="J36" s="87" t="n"/>
      <c r="K36" s="87" t="n"/>
      <c r="L36" s="86" t="n"/>
      <c r="M36" s="87" t="n"/>
      <c r="N36" s="87" t="n"/>
      <c r="O36" s="87" t="n"/>
    </row>
    <row r="37" ht="39" customHeight="1">
      <c r="B37" s="84" t="n"/>
      <c r="C37" s="84" t="n"/>
      <c r="D37" s="84" t="n"/>
      <c r="E37" s="87" t="n"/>
      <c r="F37" s="87" t="n"/>
      <c r="G37" s="87" t="n"/>
      <c r="H37" s="87" t="n"/>
      <c r="I37" s="86" t="n"/>
      <c r="J37" s="87" t="n"/>
      <c r="K37" s="87" t="n"/>
      <c r="L37" s="86" t="n"/>
      <c r="M37" s="87" t="n"/>
      <c r="N37" s="87" t="n"/>
      <c r="O37" s="87" t="n"/>
    </row>
    <row r="38" ht="39" customHeight="1">
      <c r="B38" s="84" t="n"/>
      <c r="C38" s="84" t="n"/>
      <c r="D38" s="84" t="n"/>
      <c r="E38" s="87" t="n"/>
      <c r="F38" s="87" t="n"/>
      <c r="G38" s="87" t="n"/>
      <c r="H38" s="87" t="n"/>
      <c r="I38" s="86" t="n"/>
      <c r="J38" s="87" t="n"/>
      <c r="K38" s="87" t="n"/>
      <c r="L38" s="86" t="n"/>
      <c r="M38" s="87" t="n"/>
      <c r="N38" s="87" t="n"/>
      <c r="O38" s="87" t="n"/>
    </row>
    <row r="39" ht="39" customHeight="1">
      <c r="B39" s="84" t="n"/>
      <c r="C39" s="84" t="n"/>
      <c r="D39" s="84" t="n"/>
      <c r="E39" s="87" t="n"/>
      <c r="F39" s="87" t="n"/>
      <c r="G39" s="87" t="n"/>
      <c r="H39" s="87" t="n"/>
      <c r="I39" s="86" t="n"/>
      <c r="J39" s="87" t="n"/>
      <c r="K39" s="87" t="n"/>
      <c r="L39" s="86" t="n"/>
      <c r="M39" s="87" t="n"/>
      <c r="N39" s="87" t="n"/>
      <c r="O39" s="87" t="n"/>
    </row>
    <row r="40" ht="39" customHeight="1">
      <c r="B40" s="84" t="n"/>
      <c r="C40" s="84" t="n"/>
      <c r="D40" s="84" t="n"/>
      <c r="E40" s="87" t="n"/>
      <c r="F40" s="87" t="n"/>
      <c r="G40" s="87" t="n"/>
      <c r="H40" s="87" t="n"/>
      <c r="I40" s="86" t="n"/>
      <c r="J40" s="87" t="n"/>
      <c r="K40" s="87" t="n"/>
      <c r="L40" s="86" t="n"/>
      <c r="M40" s="87" t="n"/>
      <c r="N40" s="87" t="n"/>
      <c r="O40" s="87" t="n"/>
    </row>
    <row r="41" ht="39" customHeight="1">
      <c r="B41" s="84" t="n"/>
      <c r="C41" s="84" t="n"/>
      <c r="D41" s="84" t="n"/>
      <c r="E41" s="87" t="n"/>
      <c r="F41" s="87" t="n"/>
      <c r="G41" s="87" t="n"/>
      <c r="H41" s="87" t="n"/>
      <c r="I41" s="86" t="n"/>
      <c r="J41" s="87" t="n"/>
      <c r="K41" s="87" t="n"/>
      <c r="L41" s="86" t="n"/>
      <c r="M41" s="87" t="n"/>
      <c r="N41" s="87" t="n"/>
      <c r="O41" s="87" t="n"/>
    </row>
    <row r="42" ht="39" customHeight="1">
      <c r="B42" s="84" t="n"/>
      <c r="C42" s="84" t="n"/>
      <c r="D42" s="84" t="n"/>
      <c r="E42" s="87" t="n"/>
      <c r="F42" s="87" t="n"/>
      <c r="G42" s="87" t="n"/>
      <c r="H42" s="87" t="n"/>
      <c r="I42" s="86" t="n"/>
      <c r="J42" s="87" t="n"/>
      <c r="K42" s="87" t="n"/>
      <c r="L42" s="86" t="n"/>
      <c r="M42" s="87" t="n"/>
      <c r="N42" s="87" t="n"/>
      <c r="O42" s="87" t="n"/>
    </row>
    <row r="43" ht="39" customHeight="1">
      <c r="B43" s="84" t="n"/>
      <c r="C43" s="84" t="n"/>
      <c r="D43" s="84" t="n"/>
      <c r="E43" s="87" t="n"/>
      <c r="F43" s="87" t="n"/>
      <c r="G43" s="87" t="n"/>
      <c r="H43" s="87" t="n"/>
      <c r="I43" s="86" t="n"/>
      <c r="J43" s="87" t="n"/>
      <c r="K43" s="87" t="n"/>
      <c r="L43" s="86" t="n"/>
      <c r="M43" s="87" t="n"/>
      <c r="N43" s="87" t="n"/>
      <c r="O43" s="87" t="n"/>
    </row>
    <row r="44" ht="39" customHeight="1">
      <c r="B44" s="84" t="n"/>
      <c r="C44" s="84" t="n"/>
      <c r="D44" s="84" t="n"/>
      <c r="E44" s="87" t="n"/>
      <c r="F44" s="87" t="n"/>
      <c r="G44" s="87" t="n"/>
      <c r="H44" s="87" t="n"/>
      <c r="I44" s="86" t="n"/>
      <c r="J44" s="87" t="n"/>
      <c r="K44" s="87" t="n"/>
      <c r="L44" s="86" t="n"/>
      <c r="M44" s="87" t="n"/>
      <c r="N44" s="87" t="n"/>
      <c r="O44" s="87" t="n"/>
    </row>
    <row r="45" ht="39" customHeight="1">
      <c r="B45" s="84" t="n"/>
      <c r="C45" s="84" t="n"/>
      <c r="D45" s="84" t="n"/>
      <c r="E45" s="87" t="n"/>
      <c r="F45" s="87" t="n"/>
      <c r="G45" s="87" t="n"/>
      <c r="H45" s="87" t="n"/>
      <c r="I45" s="86" t="n"/>
      <c r="J45" s="87" t="n"/>
      <c r="K45" s="87" t="n"/>
      <c r="L45" s="86" t="n"/>
      <c r="M45" s="87" t="n"/>
      <c r="N45" s="87" t="n"/>
      <c r="O45" s="87" t="n"/>
    </row>
    <row r="46" ht="39" customHeight="1">
      <c r="B46" s="84" t="n"/>
      <c r="C46" s="84" t="n"/>
      <c r="D46" s="84" t="n"/>
      <c r="E46" s="87" t="n"/>
      <c r="F46" s="87" t="n"/>
      <c r="G46" s="87" t="n"/>
      <c r="H46" s="87" t="n"/>
      <c r="I46" s="86" t="n"/>
      <c r="J46" s="87" t="n"/>
      <c r="K46" s="87" t="n"/>
      <c r="L46" s="86" t="n"/>
      <c r="M46" s="87" t="n"/>
      <c r="N46" s="87" t="n"/>
      <c r="O46" s="87" t="n"/>
    </row>
    <row r="47" ht="39" customHeight="1">
      <c r="B47" s="84" t="n"/>
      <c r="C47" s="84" t="n"/>
      <c r="D47" s="84" t="n"/>
      <c r="E47" s="87" t="n"/>
      <c r="F47" s="87" t="n"/>
      <c r="G47" s="87" t="n"/>
      <c r="H47" s="87" t="n"/>
      <c r="I47" s="86" t="n"/>
      <c r="J47" s="87" t="n"/>
      <c r="K47" s="87" t="n"/>
      <c r="L47" s="86" t="n"/>
      <c r="M47" s="87" t="n"/>
      <c r="N47" s="87" t="n"/>
      <c r="O47" s="87" t="n"/>
    </row>
    <row r="48" ht="39" customHeight="1">
      <c r="B48" s="84" t="n"/>
      <c r="C48" s="84" t="n"/>
      <c r="D48" s="84" t="n"/>
      <c r="E48" s="87" t="n"/>
      <c r="F48" s="87" t="n"/>
      <c r="G48" s="87" t="n"/>
      <c r="H48" s="87" t="n"/>
      <c r="I48" s="86" t="n"/>
      <c r="J48" s="87" t="n"/>
      <c r="K48" s="87" t="n"/>
      <c r="L48" s="86" t="n"/>
      <c r="M48" s="87" t="n"/>
      <c r="N48" s="87" t="n"/>
      <c r="O48" s="87" t="n"/>
    </row>
    <row r="49" ht="39" customHeight="1">
      <c r="B49" s="84" t="n"/>
      <c r="C49" s="84" t="n"/>
      <c r="D49" s="84" t="n"/>
      <c r="E49" s="87" t="n"/>
      <c r="F49" s="87" t="n"/>
      <c r="G49" s="87" t="n"/>
      <c r="H49" s="87" t="n"/>
      <c r="I49" s="86" t="n"/>
      <c r="J49" s="87" t="n"/>
      <c r="K49" s="87" t="n"/>
      <c r="L49" s="86" t="n"/>
      <c r="M49" s="87" t="n"/>
      <c r="N49" s="87" t="n"/>
      <c r="O49" s="87" t="n"/>
    </row>
    <row r="50" ht="39" customHeight="1">
      <c r="B50" s="84" t="n"/>
      <c r="C50" s="84" t="n"/>
      <c r="D50" s="84" t="n"/>
      <c r="E50" s="87" t="n"/>
      <c r="F50" s="87" t="n"/>
      <c r="G50" s="87" t="n"/>
      <c r="H50" s="87" t="n"/>
      <c r="I50" s="86" t="n"/>
      <c r="J50" s="86" t="n"/>
      <c r="K50" s="87" t="n"/>
      <c r="L50" s="86" t="n"/>
      <c r="M50" s="87" t="n"/>
      <c r="N50" s="87" t="n"/>
      <c r="O50" s="87" t="n"/>
    </row>
    <row r="51" ht="39" customHeight="1">
      <c r="B51" s="84" t="n"/>
      <c r="C51" s="84" t="n"/>
      <c r="D51" s="84" t="n"/>
      <c r="E51" s="87" t="n"/>
      <c r="F51" s="87" t="n"/>
      <c r="G51" s="87" t="n"/>
      <c r="H51" s="87" t="n"/>
      <c r="I51" s="86" t="n"/>
      <c r="J51" s="86" t="n"/>
      <c r="K51" s="87" t="n"/>
      <c r="L51" s="86" t="n"/>
      <c r="M51" s="87" t="n"/>
      <c r="N51" s="87" t="n"/>
      <c r="O51" s="87" t="n"/>
    </row>
    <row r="52" ht="39" customHeight="1">
      <c r="B52" s="84" t="n"/>
      <c r="C52" s="84" t="n"/>
      <c r="D52" s="84" t="n"/>
      <c r="E52" s="87" t="n"/>
      <c r="F52" s="87" t="n"/>
      <c r="G52" s="87" t="n"/>
      <c r="H52" s="87" t="n"/>
      <c r="I52" s="86" t="n"/>
      <c r="J52" s="86" t="n"/>
      <c r="K52" s="87" t="n"/>
      <c r="L52" s="86" t="n"/>
      <c r="M52" s="87" t="n"/>
      <c r="N52" s="87" t="n"/>
      <c r="O52" s="87" t="n"/>
    </row>
    <row r="53" ht="39" customHeight="1">
      <c r="B53" s="84" t="n"/>
      <c r="C53" s="84" t="n"/>
      <c r="D53" s="84" t="n"/>
      <c r="E53" s="87" t="n"/>
      <c r="F53" s="87" t="n"/>
      <c r="G53" s="87" t="n"/>
      <c r="H53" s="87" t="n"/>
      <c r="I53" s="86" t="n"/>
      <c r="J53" s="86" t="n"/>
      <c r="K53" s="87" t="n"/>
      <c r="L53" s="86" t="n"/>
      <c r="M53" s="87" t="n"/>
      <c r="N53" s="87" t="n"/>
      <c r="O53" s="87" t="n"/>
    </row>
    <row r="54" ht="39" customHeight="1">
      <c r="B54" s="84" t="n"/>
      <c r="C54" s="84" t="n"/>
      <c r="D54" s="84" t="n"/>
      <c r="E54" s="87" t="n"/>
      <c r="F54" s="87" t="n"/>
      <c r="G54" s="87" t="n"/>
      <c r="H54" s="87" t="n"/>
      <c r="I54" s="86" t="n"/>
      <c r="J54" s="87" t="n"/>
      <c r="K54" s="87" t="n"/>
      <c r="L54" s="86" t="n"/>
      <c r="M54" s="87" t="n"/>
      <c r="N54" s="87" t="n"/>
      <c r="O54" s="87" t="n"/>
    </row>
    <row r="55" ht="39" customHeight="1">
      <c r="B55" s="84" t="n"/>
      <c r="C55" s="84" t="n"/>
      <c r="D55" s="84" t="n"/>
      <c r="E55" s="87" t="n"/>
      <c r="F55" s="87" t="n"/>
      <c r="G55" s="87" t="n"/>
      <c r="H55" s="87" t="n"/>
      <c r="I55" s="86" t="n"/>
      <c r="J55" s="87" t="n"/>
      <c r="K55" s="87" t="n"/>
      <c r="L55" s="86" t="n"/>
      <c r="M55" s="87" t="n"/>
      <c r="N55" s="87" t="n"/>
      <c r="O55" s="87" t="n"/>
    </row>
    <row r="56" ht="39" customHeight="1">
      <c r="B56" s="84" t="n"/>
      <c r="C56" s="84" t="n"/>
      <c r="D56" s="84" t="n"/>
      <c r="E56" s="87" t="n"/>
      <c r="F56" s="87" t="n"/>
      <c r="G56" s="87" t="n"/>
      <c r="H56" s="87" t="n"/>
      <c r="I56" s="86" t="n"/>
      <c r="J56" s="87" t="n"/>
      <c r="K56" s="87" t="n"/>
      <c r="L56" s="86" t="n"/>
      <c r="M56" s="87" t="n"/>
      <c r="N56" s="87" t="n"/>
      <c r="O56" s="87" t="n"/>
    </row>
    <row r="57" ht="39" customHeight="1">
      <c r="B57" s="84" t="n"/>
      <c r="C57" s="84" t="n"/>
      <c r="D57" s="84" t="n"/>
      <c r="E57" s="87" t="n"/>
      <c r="F57" s="87" t="n"/>
      <c r="G57" s="87" t="n"/>
      <c r="H57" s="87" t="n"/>
      <c r="I57" s="86" t="n"/>
      <c r="J57" s="87" t="n"/>
      <c r="K57" s="87" t="n"/>
      <c r="L57" s="86" t="n"/>
      <c r="M57" s="87" t="n"/>
      <c r="N57" s="87" t="n"/>
      <c r="O57" s="87" t="n"/>
    </row>
    <row r="58" ht="39" customHeight="1">
      <c r="B58" s="84" t="n"/>
      <c r="C58" s="84" t="n"/>
      <c r="D58" s="84" t="n"/>
      <c r="E58" s="87" t="n"/>
      <c r="F58" s="87" t="n"/>
      <c r="G58" s="87" t="n"/>
      <c r="H58" s="87" t="n"/>
      <c r="I58" s="86" t="n"/>
      <c r="J58" s="87" t="n"/>
      <c r="K58" s="87" t="n"/>
      <c r="L58" s="86" t="n"/>
      <c r="M58" s="87" t="n"/>
      <c r="N58" s="87" t="n"/>
      <c r="O58" s="87" t="n"/>
    </row>
    <row r="59" ht="39" customHeight="1">
      <c r="B59" s="84" t="n"/>
      <c r="C59" s="84" t="n"/>
      <c r="D59" s="84" t="n"/>
      <c r="E59" s="87" t="n"/>
      <c r="F59" s="87" t="n"/>
      <c r="G59" s="87" t="n"/>
      <c r="H59" s="87" t="n"/>
      <c r="I59" s="86" t="n"/>
      <c r="J59" s="87" t="n"/>
      <c r="K59" s="87" t="n"/>
      <c r="L59" s="86" t="n"/>
      <c r="M59" s="87" t="n"/>
      <c r="N59" s="87" t="n"/>
      <c r="O59" s="87" t="n"/>
    </row>
    <row r="60" ht="39" customHeight="1">
      <c r="B60" s="84" t="n"/>
      <c r="C60" s="84" t="n"/>
      <c r="D60" s="84" t="n"/>
      <c r="E60" s="87" t="n"/>
      <c r="F60" s="87" t="n"/>
      <c r="G60" s="87" t="n"/>
      <c r="H60" s="87" t="n"/>
      <c r="I60" s="86" t="n"/>
      <c r="J60" s="87" t="n"/>
      <c r="K60" s="87" t="n"/>
      <c r="L60" s="86" t="n"/>
      <c r="M60" s="87" t="n"/>
      <c r="N60" s="87" t="n"/>
      <c r="O60" s="87" t="n"/>
    </row>
    <row r="61" ht="39" customHeight="1">
      <c r="B61" s="84" t="n"/>
      <c r="C61" s="84" t="n"/>
      <c r="D61" s="84" t="n"/>
      <c r="E61" s="87" t="n"/>
      <c r="F61" s="87" t="n"/>
      <c r="G61" s="87" t="n"/>
      <c r="H61" s="87" t="n"/>
      <c r="I61" s="86" t="n"/>
      <c r="J61" s="87" t="n"/>
      <c r="K61" s="87" t="n"/>
      <c r="L61" s="86" t="n"/>
      <c r="M61" s="87" t="n"/>
      <c r="N61" s="87" t="n"/>
      <c r="O61" s="87" t="n"/>
    </row>
    <row r="62" ht="39" customHeight="1">
      <c r="B62" s="84" t="n"/>
      <c r="C62" s="84" t="n"/>
      <c r="D62" s="84" t="n"/>
      <c r="E62" s="87" t="n"/>
      <c r="F62" s="87" t="n"/>
      <c r="G62" s="87" t="n"/>
      <c r="H62" s="87" t="n"/>
      <c r="I62" s="86" t="n"/>
      <c r="J62" s="87" t="n"/>
      <c r="K62" s="87" t="n"/>
      <c r="L62" s="86" t="n"/>
      <c r="M62" s="87" t="n"/>
      <c r="N62" s="87" t="n"/>
      <c r="O62" s="87" t="n"/>
    </row>
    <row r="63" ht="39" customHeight="1">
      <c r="B63" s="84" t="n"/>
      <c r="C63" s="84" t="n"/>
      <c r="D63" s="84" t="n"/>
      <c r="E63" s="87" t="n"/>
      <c r="F63" s="87" t="n"/>
      <c r="G63" s="87" t="n"/>
      <c r="H63" s="87" t="n"/>
      <c r="I63" s="86" t="n"/>
      <c r="J63" s="87" t="n"/>
      <c r="K63" s="87" t="n"/>
      <c r="L63" s="86" t="n"/>
      <c r="M63" s="87" t="n"/>
      <c r="N63" s="87" t="n"/>
      <c r="O63" s="87" t="n"/>
    </row>
    <row r="64" ht="39" customHeight="1">
      <c r="B64" s="84" t="n"/>
      <c r="C64" s="84" t="n"/>
      <c r="D64" s="84" t="n"/>
      <c r="E64" s="87" t="n"/>
      <c r="F64" s="87" t="n"/>
      <c r="G64" s="87" t="n"/>
      <c r="H64" s="87" t="n"/>
      <c r="I64" s="86" t="n"/>
      <c r="J64" s="87" t="n"/>
      <c r="K64" s="87" t="n"/>
      <c r="L64" s="86" t="n"/>
      <c r="M64" s="87" t="n"/>
      <c r="N64" s="87" t="n"/>
      <c r="O64" s="87" t="n"/>
    </row>
    <row r="65" ht="39" customHeight="1">
      <c r="B65" s="84" t="n"/>
      <c r="C65" s="84" t="n"/>
      <c r="D65" s="84" t="n"/>
      <c r="E65" s="87" t="n"/>
      <c r="F65" s="87" t="n"/>
      <c r="G65" s="87" t="n"/>
      <c r="H65" s="87" t="n"/>
      <c r="I65" s="86" t="n"/>
      <c r="J65" s="87" t="n"/>
      <c r="K65" s="87" t="n"/>
      <c r="L65" s="86" t="n"/>
      <c r="M65" s="87" t="n"/>
      <c r="N65" s="87" t="n"/>
      <c r="O65" s="87" t="n"/>
    </row>
    <row r="66" ht="39" customHeight="1">
      <c r="B66" s="84" t="n"/>
      <c r="C66" s="84" t="n"/>
      <c r="D66" s="84" t="n"/>
      <c r="E66" s="87" t="n"/>
      <c r="F66" s="87" t="n"/>
      <c r="G66" s="87" t="n"/>
      <c r="H66" s="87" t="n"/>
      <c r="I66" s="86" t="n"/>
      <c r="J66" s="87" t="n"/>
      <c r="K66" s="87" t="n"/>
      <c r="L66" s="86" t="n"/>
      <c r="M66" s="87" t="n"/>
      <c r="N66" s="87" t="n"/>
      <c r="O66" s="87" t="n"/>
    </row>
    <row r="67" ht="39" customHeight="1">
      <c r="B67" s="84" t="n"/>
      <c r="C67" s="84" t="n"/>
      <c r="D67" s="84" t="n"/>
      <c r="E67" s="87" t="n"/>
      <c r="F67" s="87" t="n"/>
      <c r="G67" s="87" t="n"/>
      <c r="H67" s="87" t="n"/>
      <c r="I67" s="86" t="n"/>
      <c r="J67" s="87" t="n"/>
      <c r="K67" s="87" t="n"/>
      <c r="L67" s="86" t="n"/>
      <c r="M67" s="87" t="n"/>
      <c r="N67" s="87" t="n"/>
      <c r="O67" s="87" t="n"/>
    </row>
    <row r="68" ht="39" customHeight="1">
      <c r="B68" s="84" t="n"/>
      <c r="C68" s="84" t="n"/>
      <c r="D68" s="84" t="n"/>
      <c r="E68" s="87" t="n"/>
      <c r="F68" s="87" t="n"/>
      <c r="G68" s="87" t="n"/>
      <c r="H68" s="87" t="n"/>
      <c r="I68" s="86" t="n"/>
      <c r="J68" s="87" t="n"/>
      <c r="K68" s="87" t="n"/>
      <c r="L68" s="86" t="n"/>
      <c r="M68" s="87" t="n"/>
      <c r="N68" s="87" t="n"/>
      <c r="O68" s="87" t="n"/>
    </row>
    <row r="69" ht="39" customHeight="1">
      <c r="B69" s="84" t="n"/>
      <c r="C69" s="84" t="n"/>
      <c r="D69" s="84" t="n"/>
      <c r="E69" s="87" t="n"/>
      <c r="F69" s="87" t="n"/>
      <c r="G69" s="87" t="n"/>
      <c r="H69" s="87" t="n"/>
      <c r="I69" s="86" t="n"/>
      <c r="J69" s="87" t="n"/>
      <c r="K69" s="87" t="n"/>
      <c r="L69" s="86" t="n"/>
      <c r="M69" s="87" t="n"/>
      <c r="N69" s="87" t="n"/>
      <c r="O69" s="87" t="n"/>
    </row>
    <row r="70" ht="39" customHeight="1">
      <c r="B70" s="84" t="n"/>
      <c r="C70" s="84" t="n"/>
      <c r="D70" s="84" t="n"/>
      <c r="E70" s="87" t="n"/>
      <c r="F70" s="87" t="n"/>
      <c r="G70" s="87" t="n"/>
      <c r="H70" s="87" t="n"/>
      <c r="I70" s="86" t="n"/>
      <c r="J70" s="87" t="n"/>
      <c r="K70" s="87" t="n"/>
      <c r="L70" s="86" t="n"/>
      <c r="M70" s="87" t="n"/>
      <c r="N70" s="87" t="n"/>
      <c r="O70" s="87" t="n"/>
    </row>
    <row r="71" ht="39" customHeight="1">
      <c r="B71" s="84" t="n"/>
      <c r="C71" s="84" t="n"/>
      <c r="D71" s="84" t="n"/>
      <c r="E71" s="87" t="n"/>
      <c r="F71" s="87" t="n"/>
      <c r="G71" s="87" t="n"/>
      <c r="H71" s="87" t="n"/>
      <c r="I71" s="86" t="n"/>
      <c r="J71" s="87" t="n"/>
      <c r="K71" s="87" t="n"/>
      <c r="L71" s="86" t="n"/>
      <c r="M71" s="87" t="n"/>
      <c r="N71" s="87" t="n"/>
      <c r="O71" s="87" t="n"/>
    </row>
    <row r="72" ht="39" customHeight="1">
      <c r="B72" s="84" t="n"/>
      <c r="C72" s="84" t="n"/>
      <c r="D72" s="84" t="n"/>
      <c r="E72" s="87" t="n"/>
      <c r="F72" s="87" t="n"/>
      <c r="G72" s="87" t="n"/>
      <c r="H72" s="87" t="n"/>
      <c r="I72" s="86" t="n"/>
      <c r="J72" s="87" t="n"/>
      <c r="K72" s="87" t="n"/>
      <c r="L72" s="86" t="n"/>
      <c r="M72" s="87" t="n"/>
      <c r="N72" s="87" t="n"/>
      <c r="O72" s="87" t="n"/>
    </row>
    <row r="73" ht="39" customHeight="1">
      <c r="B73" s="84" t="n"/>
      <c r="C73" s="84" t="n"/>
      <c r="D73" s="84" t="n"/>
      <c r="E73" s="87" t="n"/>
      <c r="F73" s="87" t="n"/>
      <c r="G73" s="87" t="n"/>
      <c r="H73" s="87" t="n"/>
      <c r="I73" s="86" t="n"/>
      <c r="J73" s="87" t="n"/>
      <c r="K73" s="87" t="n"/>
      <c r="L73" s="86" t="n"/>
      <c r="M73" s="87" t="n"/>
      <c r="N73" s="87" t="n"/>
      <c r="O73" s="87" t="n"/>
    </row>
    <row r="74" ht="39" customHeight="1">
      <c r="B74" s="84" t="n"/>
      <c r="C74" s="84" t="n"/>
      <c r="D74" s="84" t="n"/>
      <c r="E74" s="87" t="n"/>
      <c r="F74" s="87" t="n"/>
      <c r="G74" s="87" t="n"/>
      <c r="H74" s="87" t="n"/>
      <c r="I74" s="86" t="n"/>
      <c r="J74" s="87" t="n"/>
      <c r="K74" s="87" t="n"/>
      <c r="L74" s="86" t="n"/>
      <c r="M74" s="87" t="n"/>
      <c r="N74" s="87" t="n"/>
      <c r="O74" s="87" t="n"/>
    </row>
    <row r="75" ht="39" customHeight="1">
      <c r="B75" s="84" t="n"/>
      <c r="C75" s="84" t="n"/>
      <c r="D75" s="84" t="n"/>
      <c r="E75" s="87" t="n"/>
      <c r="F75" s="87" t="n"/>
      <c r="G75" s="87" t="n"/>
      <c r="H75" s="87" t="n"/>
      <c r="I75" s="86" t="n"/>
      <c r="J75" s="87" t="n"/>
      <c r="K75" s="87" t="n"/>
      <c r="L75" s="86" t="n"/>
      <c r="M75" s="87" t="n"/>
      <c r="N75" s="87" t="n"/>
      <c r="O75" s="87" t="n"/>
    </row>
    <row r="76" ht="39" customHeight="1">
      <c r="B76" s="84" t="n"/>
      <c r="C76" s="84" t="n"/>
      <c r="D76" s="84" t="n"/>
      <c r="E76" s="87" t="n"/>
      <c r="F76" s="87" t="n"/>
      <c r="G76" s="87" t="n"/>
      <c r="H76" s="87" t="n"/>
      <c r="I76" s="86" t="n"/>
      <c r="J76" s="87" t="n"/>
      <c r="K76" s="87" t="n"/>
      <c r="L76" s="86" t="n"/>
      <c r="M76" s="87" t="n"/>
      <c r="N76" s="87" t="n"/>
      <c r="O76" s="87" t="n"/>
    </row>
    <row r="77" ht="39" customHeight="1">
      <c r="B77" s="84" t="n"/>
      <c r="C77" s="84" t="n"/>
      <c r="D77" s="84" t="n"/>
      <c r="E77" s="87" t="n"/>
      <c r="F77" s="87" t="n"/>
      <c r="G77" s="87" t="n"/>
      <c r="H77" s="87" t="n"/>
      <c r="I77" s="86" t="n"/>
      <c r="J77" s="87" t="n"/>
      <c r="K77" s="87" t="n"/>
      <c r="L77" s="86" t="n"/>
      <c r="M77" s="87" t="n"/>
      <c r="N77" s="87" t="n"/>
      <c r="O77" s="87" t="n"/>
    </row>
    <row r="78" ht="39" customHeight="1">
      <c r="B78" s="84" t="n"/>
      <c r="C78" s="84" t="n"/>
      <c r="D78" s="84" t="n"/>
      <c r="E78" s="87" t="n"/>
      <c r="F78" s="87" t="n"/>
      <c r="G78" s="87" t="n"/>
      <c r="H78" s="87" t="n"/>
      <c r="I78" s="86" t="n"/>
      <c r="J78" s="87" t="n"/>
      <c r="K78" s="87" t="n"/>
      <c r="L78" s="86" t="n"/>
      <c r="M78" s="87" t="n"/>
      <c r="N78" s="87" t="n"/>
      <c r="O78" s="87" t="n"/>
    </row>
    <row r="79" ht="39" customHeight="1">
      <c r="B79" s="84" t="n"/>
      <c r="C79" s="84" t="n"/>
      <c r="D79" s="84" t="n"/>
      <c r="E79" s="87" t="n"/>
      <c r="F79" s="87" t="n"/>
      <c r="G79" s="87" t="n"/>
      <c r="H79" s="87" t="n"/>
      <c r="I79" s="86" t="n"/>
      <c r="J79" s="87" t="n"/>
      <c r="K79" s="87" t="n"/>
      <c r="L79" s="86" t="n"/>
      <c r="M79" s="87" t="n"/>
      <c r="N79" s="87" t="n"/>
      <c r="O79" s="87" t="n"/>
    </row>
    <row r="80" ht="39" customHeight="1">
      <c r="B80" s="84" t="n"/>
      <c r="C80" s="84" t="n"/>
      <c r="D80" s="84" t="n"/>
      <c r="E80" s="87" t="n"/>
      <c r="F80" s="87" t="n"/>
      <c r="G80" s="87" t="n"/>
      <c r="H80" s="87" t="n"/>
      <c r="I80" s="86" t="n"/>
      <c r="J80" s="87" t="n"/>
      <c r="K80" s="87" t="n"/>
      <c r="L80" s="86" t="n"/>
      <c r="M80" s="87" t="n"/>
      <c r="N80" s="87" t="n"/>
      <c r="O80" s="87" t="n"/>
    </row>
    <row r="81" ht="39" customHeight="1">
      <c r="B81" s="84" t="n"/>
      <c r="C81" s="84" t="n"/>
      <c r="D81" s="84" t="n"/>
      <c r="E81" s="87" t="n"/>
      <c r="F81" s="87" t="n"/>
      <c r="G81" s="87" t="n"/>
      <c r="H81" s="87" t="n"/>
      <c r="I81" s="86" t="n"/>
      <c r="J81" s="87" t="n"/>
      <c r="K81" s="87" t="n"/>
      <c r="L81" s="86" t="n"/>
      <c r="M81" s="87" t="n"/>
      <c r="N81" s="87" t="n"/>
      <c r="O81" s="87" t="n"/>
    </row>
    <row r="82" ht="39" customHeight="1">
      <c r="B82" s="84" t="n"/>
      <c r="C82" s="84" t="n"/>
      <c r="D82" s="84" t="n"/>
      <c r="E82" s="87" t="n"/>
      <c r="F82" s="87" t="n"/>
      <c r="G82" s="87" t="n"/>
      <c r="H82" s="87" t="n"/>
      <c r="I82" s="86" t="n"/>
      <c r="J82" s="87" t="n"/>
      <c r="K82" s="87" t="n"/>
      <c r="L82" s="86" t="n"/>
      <c r="M82" s="87" t="n"/>
      <c r="N82" s="87" t="n"/>
      <c r="O82" s="87" t="n"/>
    </row>
    <row r="83" ht="39" customHeight="1">
      <c r="B83" s="84" t="n"/>
      <c r="C83" s="84" t="n"/>
      <c r="D83" s="84" t="n"/>
      <c r="E83" s="87" t="n"/>
      <c r="F83" s="87" t="n"/>
      <c r="G83" s="87" t="n"/>
      <c r="H83" s="87" t="n"/>
      <c r="I83" s="86" t="n"/>
      <c r="J83" s="87" t="n"/>
      <c r="K83" s="87" t="n"/>
      <c r="L83" s="86" t="n"/>
      <c r="M83" s="87" t="n"/>
      <c r="N83" s="87" t="n"/>
      <c r="O83" s="87" t="n"/>
    </row>
    <row r="84" ht="39" customHeight="1">
      <c r="B84" s="84" t="n"/>
      <c r="C84" s="84" t="n"/>
      <c r="D84" s="84" t="n"/>
      <c r="E84" s="87" t="n"/>
      <c r="F84" s="87" t="n"/>
      <c r="G84" s="87" t="n"/>
      <c r="H84" s="87" t="n"/>
      <c r="I84" s="86" t="n"/>
      <c r="J84" s="87" t="n"/>
      <c r="K84" s="87" t="n"/>
      <c r="L84" s="86" t="n"/>
      <c r="M84" s="87" t="n"/>
      <c r="N84" s="87" t="n"/>
      <c r="O84" s="87" t="n"/>
    </row>
    <row r="85" ht="39" customHeight="1">
      <c r="B85" s="84" t="n"/>
      <c r="C85" s="84" t="n"/>
      <c r="D85" s="84" t="n"/>
      <c r="E85" s="87" t="n"/>
      <c r="F85" s="87" t="n"/>
      <c r="G85" s="87" t="n"/>
      <c r="H85" s="87" t="n"/>
      <c r="I85" s="86" t="n"/>
      <c r="J85" s="87" t="n"/>
      <c r="K85" s="87" t="n"/>
      <c r="L85" s="86" t="n"/>
      <c r="M85" s="87" t="n"/>
      <c r="N85" s="87" t="n"/>
      <c r="O85" s="87" t="n"/>
    </row>
    <row r="86" ht="39" customHeight="1">
      <c r="B86" s="84" t="n"/>
      <c r="C86" s="84" t="n"/>
      <c r="D86" s="84" t="n"/>
      <c r="E86" s="87" t="n"/>
      <c r="F86" s="87" t="n"/>
      <c r="G86" s="87" t="n"/>
      <c r="H86" s="87" t="n"/>
      <c r="I86" s="86" t="n"/>
      <c r="J86" s="87" t="n"/>
      <c r="K86" s="87" t="n"/>
      <c r="L86" s="86" t="n"/>
      <c r="M86" s="87" t="n"/>
      <c r="N86" s="87" t="n"/>
      <c r="O86" s="87" t="n"/>
    </row>
    <row r="87" ht="39" customHeight="1">
      <c r="B87" s="84" t="n"/>
      <c r="C87" s="84" t="n"/>
      <c r="D87" s="84" t="n"/>
      <c r="E87" s="87" t="n"/>
      <c r="F87" s="87" t="n"/>
      <c r="G87" s="87" t="n"/>
      <c r="H87" s="87" t="n"/>
      <c r="I87" s="86" t="n"/>
      <c r="J87" s="87" t="n"/>
      <c r="K87" s="87" t="n"/>
      <c r="L87" s="86" t="n"/>
      <c r="M87" s="87" t="n"/>
      <c r="N87" s="87" t="n"/>
      <c r="O87" s="87" t="n"/>
    </row>
    <row r="88" ht="39" customHeight="1">
      <c r="B88" s="84" t="n"/>
      <c r="C88" s="84" t="n"/>
      <c r="D88" s="84" t="n"/>
      <c r="E88" s="87" t="n"/>
      <c r="F88" s="87" t="n"/>
      <c r="G88" s="87" t="n"/>
      <c r="H88" s="87" t="n"/>
      <c r="I88" s="86" t="n"/>
      <c r="J88" s="87" t="n"/>
      <c r="K88" s="87" t="n"/>
      <c r="L88" s="86" t="n"/>
      <c r="M88" s="87" t="n"/>
      <c r="N88" s="87" t="n"/>
      <c r="O88" s="87" t="n"/>
    </row>
    <row r="89" ht="39" customHeight="1">
      <c r="B89" s="84" t="n"/>
      <c r="C89" s="84" t="n"/>
      <c r="D89" s="84" t="n"/>
      <c r="E89" s="87" t="n"/>
      <c r="F89" s="87" t="n"/>
      <c r="G89" s="87" t="n"/>
      <c r="H89" s="87" t="n"/>
      <c r="I89" s="86" t="n"/>
      <c r="J89" s="87" t="n"/>
      <c r="K89" s="87" t="n"/>
      <c r="L89" s="86" t="n"/>
      <c r="M89" s="87" t="n"/>
      <c r="N89" s="87" t="n"/>
      <c r="O89" s="87" t="n"/>
    </row>
    <row r="90" ht="39" customHeight="1">
      <c r="B90" s="84" t="n"/>
      <c r="C90" s="84" t="n"/>
      <c r="D90" s="84" t="n"/>
      <c r="E90" s="87" t="n"/>
      <c r="F90" s="87" t="n"/>
      <c r="G90" s="87" t="n"/>
      <c r="H90" s="87" t="n"/>
      <c r="I90" s="86" t="n"/>
      <c r="J90" s="87" t="n"/>
      <c r="K90" s="87" t="n"/>
      <c r="L90" s="86" t="n"/>
      <c r="M90" s="87" t="n"/>
      <c r="N90" s="87" t="n"/>
      <c r="O90" s="87" t="n"/>
    </row>
    <row r="91" ht="39" customHeight="1">
      <c r="B91" s="84" t="n"/>
      <c r="C91" s="84" t="n"/>
      <c r="D91" s="84" t="n"/>
      <c r="E91" s="87" t="n"/>
      <c r="F91" s="87" t="n"/>
      <c r="G91" s="87" t="n"/>
      <c r="H91" s="87" t="n"/>
      <c r="I91" s="86" t="n"/>
      <c r="J91" s="87" t="n"/>
      <c r="K91" s="87" t="n"/>
      <c r="L91" s="86" t="n"/>
      <c r="M91" s="87" t="n"/>
      <c r="N91" s="87" t="n"/>
      <c r="O91" s="87" t="n"/>
    </row>
    <row r="92" ht="39" customHeight="1">
      <c r="B92" s="84" t="n"/>
      <c r="C92" s="84" t="n"/>
      <c r="D92" s="84" t="n"/>
      <c r="E92" s="87" t="n"/>
      <c r="F92" s="87" t="n"/>
      <c r="G92" s="87" t="n"/>
      <c r="H92" s="87" t="n"/>
      <c r="I92" s="86" t="n"/>
      <c r="J92" s="87" t="n"/>
      <c r="K92" s="87" t="n"/>
      <c r="L92" s="86" t="n"/>
      <c r="M92" s="87" t="n"/>
      <c r="N92" s="87" t="n"/>
      <c r="O92" s="87" t="n"/>
    </row>
    <row r="93" ht="39" customHeight="1">
      <c r="B93" s="84" t="n"/>
      <c r="C93" s="84" t="n"/>
      <c r="D93" s="84" t="n"/>
      <c r="E93" s="87" t="n"/>
      <c r="F93" s="87" t="n"/>
      <c r="G93" s="87" t="n"/>
      <c r="H93" s="87" t="n"/>
      <c r="I93" s="86" t="n"/>
      <c r="J93" s="87" t="n"/>
      <c r="K93" s="87" t="n"/>
      <c r="L93" s="86" t="n"/>
      <c r="M93" s="87" t="n"/>
      <c r="N93" s="87" t="n"/>
      <c r="O93" s="87" t="n"/>
    </row>
    <row r="94" ht="39" customHeight="1">
      <c r="B94" s="84" t="n"/>
      <c r="C94" s="84" t="n"/>
      <c r="D94" s="84" t="n"/>
      <c r="E94" s="87" t="n"/>
      <c r="F94" s="87" t="n"/>
      <c r="G94" s="87" t="n"/>
      <c r="H94" s="87" t="n"/>
      <c r="I94" s="86" t="n"/>
      <c r="J94" s="87" t="n"/>
      <c r="K94" s="87" t="n"/>
      <c r="L94" s="86" t="n"/>
      <c r="M94" s="87" t="n"/>
      <c r="N94" s="87" t="n"/>
      <c r="O94" s="87" t="n"/>
    </row>
    <row r="95" ht="39" customHeight="1">
      <c r="B95" s="84" t="n"/>
      <c r="C95" s="84" t="n"/>
      <c r="D95" s="84" t="n"/>
      <c r="E95" s="87" t="n"/>
      <c r="F95" s="87" t="n"/>
      <c r="G95" s="87" t="n"/>
      <c r="H95" s="87" t="n"/>
      <c r="I95" s="86" t="n"/>
      <c r="J95" s="87" t="n"/>
      <c r="K95" s="87" t="n"/>
      <c r="L95" s="86" t="n"/>
      <c r="M95" s="87" t="n"/>
      <c r="N95" s="87" t="n"/>
      <c r="O95" s="87" t="n"/>
    </row>
    <row r="96" ht="39" customHeight="1">
      <c r="B96" s="84" t="n"/>
      <c r="C96" s="84" t="n"/>
      <c r="D96" s="84" t="n"/>
      <c r="E96" s="87" t="n"/>
      <c r="F96" s="87" t="n"/>
      <c r="G96" s="87" t="n"/>
      <c r="H96" s="87" t="n"/>
      <c r="I96" s="86" t="n"/>
      <c r="J96" s="87" t="n"/>
      <c r="K96" s="87" t="n"/>
      <c r="L96" s="86" t="n"/>
      <c r="M96" s="87" t="n"/>
      <c r="N96" s="87" t="n"/>
      <c r="O96" s="87" t="n"/>
    </row>
    <row r="97" ht="39" customHeight="1">
      <c r="B97" s="84" t="n"/>
      <c r="C97" s="84" t="n"/>
      <c r="D97" s="84" t="n"/>
      <c r="E97" s="87" t="n"/>
      <c r="F97" s="87" t="n"/>
      <c r="G97" s="87" t="n"/>
      <c r="H97" s="87" t="n"/>
      <c r="I97" s="86" t="n"/>
      <c r="J97" s="87" t="n"/>
      <c r="K97" s="87" t="n"/>
      <c r="L97" s="86" t="n"/>
      <c r="M97" s="87" t="n"/>
      <c r="N97" s="87" t="n"/>
      <c r="O97" s="87" t="n"/>
    </row>
    <row r="98" ht="39" customHeight="1">
      <c r="B98" s="84" t="n"/>
      <c r="C98" s="84" t="n"/>
      <c r="D98" s="84" t="n"/>
      <c r="E98" s="87" t="n"/>
      <c r="F98" s="87" t="n"/>
      <c r="G98" s="87" t="n"/>
      <c r="H98" s="87" t="n"/>
      <c r="I98" s="86" t="n"/>
      <c r="J98" s="87" t="n"/>
      <c r="K98" s="87" t="n"/>
      <c r="L98" s="86" t="n"/>
      <c r="M98" s="87" t="n"/>
      <c r="N98" s="87" t="n"/>
      <c r="O98" s="87" t="n"/>
    </row>
    <row r="99" ht="39" customHeight="1">
      <c r="B99" s="84" t="n"/>
      <c r="C99" s="84" t="n"/>
      <c r="D99" s="84" t="n"/>
      <c r="E99" s="87" t="n"/>
      <c r="F99" s="87" t="n"/>
      <c r="G99" s="87" t="n"/>
      <c r="H99" s="87" t="n"/>
      <c r="I99" s="86" t="n"/>
      <c r="J99" s="87" t="n"/>
      <c r="K99" s="87" t="n"/>
      <c r="L99" s="86" t="n"/>
      <c r="M99" s="87" t="n"/>
      <c r="N99" s="87" t="n"/>
      <c r="O99" s="87" t="n"/>
    </row>
    <row r="100" ht="39" customHeight="1">
      <c r="B100" s="84" t="n"/>
      <c r="C100" s="84" t="n"/>
      <c r="D100" s="84" t="n"/>
      <c r="E100" s="87" t="n"/>
      <c r="F100" s="87" t="n"/>
      <c r="G100" s="87" t="n"/>
      <c r="H100" s="87" t="n"/>
      <c r="I100" s="86" t="n"/>
      <c r="J100" s="87" t="n"/>
      <c r="K100" s="87" t="n"/>
      <c r="L100" s="86" t="n"/>
      <c r="M100" s="87" t="n"/>
      <c r="N100" s="87" t="n"/>
      <c r="O100" s="87" t="n"/>
    </row>
    <row r="101" ht="39" customHeight="1">
      <c r="B101" s="84" t="n"/>
      <c r="C101" s="84" t="n"/>
      <c r="D101" s="84" t="n"/>
      <c r="E101" s="87" t="n"/>
      <c r="F101" s="87" t="n"/>
      <c r="G101" s="87" t="n"/>
      <c r="H101" s="87" t="n"/>
      <c r="I101" s="86" t="n"/>
      <c r="J101" s="87" t="n"/>
      <c r="K101" s="87" t="n"/>
      <c r="L101" s="86" t="n"/>
      <c r="M101" s="87" t="n"/>
      <c r="N101" s="87" t="n"/>
      <c r="O101" s="87" t="n"/>
    </row>
    <row r="102" ht="39" customHeight="1">
      <c r="B102" s="84" t="n"/>
      <c r="C102" s="84" t="n"/>
      <c r="D102" s="84" t="n"/>
      <c r="E102" s="87" t="n"/>
      <c r="F102" s="87" t="n"/>
      <c r="G102" s="87" t="n"/>
      <c r="H102" s="87" t="n"/>
      <c r="I102" s="86" t="n"/>
      <c r="J102" s="87" t="n"/>
      <c r="K102" s="87" t="n"/>
      <c r="L102" s="86" t="n"/>
      <c r="M102" s="87" t="n"/>
      <c r="N102" s="87" t="n"/>
      <c r="O102" s="87" t="n"/>
    </row>
    <row r="103" ht="39" customHeight="1">
      <c r="B103" s="84" t="n"/>
      <c r="C103" s="84" t="n"/>
      <c r="D103" s="84" t="n"/>
      <c r="E103" s="87" t="n"/>
      <c r="F103" s="87" t="n"/>
      <c r="G103" s="87" t="n"/>
      <c r="H103" s="87" t="n"/>
      <c r="I103" s="86" t="n"/>
      <c r="J103" s="87" t="n"/>
      <c r="K103" s="87" t="n"/>
      <c r="L103" s="86" t="n"/>
      <c r="M103" s="87" t="n"/>
      <c r="N103" s="87" t="n"/>
      <c r="O103" s="87" t="n"/>
    </row>
    <row r="104" ht="39" customHeight="1">
      <c r="B104" s="84" t="n"/>
      <c r="C104" s="84" t="n"/>
      <c r="D104" s="84" t="n"/>
      <c r="E104" s="87" t="n"/>
      <c r="F104" s="87" t="n"/>
      <c r="G104" s="87" t="n"/>
      <c r="H104" s="87" t="n"/>
      <c r="I104" s="86" t="n"/>
      <c r="J104" s="87" t="n"/>
      <c r="K104" s="87" t="n"/>
      <c r="L104" s="86" t="n"/>
      <c r="M104" s="87" t="n"/>
      <c r="N104" s="87" t="n"/>
      <c r="O104" s="87" t="n"/>
    </row>
    <row r="105" ht="39" customHeight="1">
      <c r="B105" s="84" t="n"/>
      <c r="C105" s="84" t="n"/>
      <c r="D105" s="84" t="n"/>
      <c r="E105" s="87" t="n"/>
      <c r="F105" s="87" t="n"/>
      <c r="G105" s="87" t="n"/>
      <c r="H105" s="87" t="n"/>
      <c r="I105" s="86" t="n"/>
      <c r="J105" s="87" t="n"/>
      <c r="K105" s="87" t="n"/>
      <c r="L105" s="86" t="n"/>
      <c r="M105" s="87" t="n"/>
      <c r="N105" s="87" t="n"/>
      <c r="O105" s="87" t="n"/>
    </row>
    <row r="106" ht="39" customHeight="1">
      <c r="B106" s="84" t="n"/>
      <c r="C106" s="84" t="n"/>
      <c r="D106" s="84" t="n"/>
      <c r="E106" s="87" t="n"/>
      <c r="F106" s="87" t="n"/>
      <c r="G106" s="87" t="n"/>
      <c r="H106" s="87" t="n"/>
      <c r="I106" s="86" t="n"/>
      <c r="J106" s="87" t="n"/>
      <c r="K106" s="87" t="n"/>
      <c r="L106" s="86" t="n"/>
      <c r="M106" s="87" t="n"/>
      <c r="N106" s="87" t="n"/>
      <c r="O106" s="87" t="n"/>
    </row>
    <row r="107" ht="39" customHeight="1">
      <c r="B107" s="84" t="n"/>
      <c r="C107" s="84" t="n"/>
      <c r="D107" s="84" t="n"/>
      <c r="E107" s="87" t="n"/>
      <c r="F107" s="87" t="n"/>
      <c r="G107" s="87" t="n"/>
      <c r="H107" s="87" t="n"/>
      <c r="I107" s="86" t="n"/>
      <c r="J107" s="87" t="n"/>
      <c r="K107" s="87" t="n"/>
      <c r="L107" s="86" t="n"/>
      <c r="M107" s="87" t="n"/>
      <c r="N107" s="87" t="n"/>
      <c r="O107" s="87" t="n"/>
    </row>
    <row r="108" ht="39" customHeight="1">
      <c r="B108" s="84" t="n"/>
      <c r="C108" s="84" t="n"/>
      <c r="D108" s="84" t="n"/>
      <c r="E108" s="87" t="n"/>
      <c r="F108" s="87" t="n"/>
      <c r="G108" s="87" t="n"/>
      <c r="H108" s="87" t="n"/>
      <c r="I108" s="86" t="n"/>
      <c r="J108" s="87" t="n"/>
      <c r="K108" s="87" t="n"/>
      <c r="L108" s="86" t="n"/>
      <c r="M108" s="87" t="n"/>
      <c r="N108" s="87" t="n"/>
      <c r="O108" s="87" t="n"/>
    </row>
    <row r="109" ht="39" customHeight="1">
      <c r="B109" s="84" t="n"/>
      <c r="C109" s="84" t="n"/>
      <c r="D109" s="84" t="n"/>
      <c r="E109" s="87" t="n"/>
      <c r="F109" s="87" t="n"/>
      <c r="G109" s="87" t="n"/>
      <c r="H109" s="87" t="n"/>
      <c r="I109" s="86" t="n"/>
      <c r="J109" s="87" t="n"/>
      <c r="K109" s="87" t="n"/>
      <c r="L109" s="86" t="n"/>
      <c r="M109" s="87" t="n"/>
      <c r="N109" s="87" t="n"/>
      <c r="O109" s="87" t="n"/>
    </row>
    <row r="110" ht="39" customHeight="1">
      <c r="B110" s="84" t="n"/>
      <c r="C110" s="84" t="n"/>
      <c r="D110" s="84" t="n"/>
      <c r="E110" s="87" t="n"/>
      <c r="F110" s="87" t="n"/>
      <c r="G110" s="87" t="n"/>
      <c r="H110" s="87" t="n"/>
      <c r="I110" s="86" t="n"/>
      <c r="J110" s="87" t="n"/>
      <c r="K110" s="87" t="n"/>
      <c r="L110" s="86" t="n"/>
      <c r="M110" s="87" t="n"/>
      <c r="N110" s="87" t="n"/>
      <c r="O110" s="87" t="n"/>
    </row>
    <row r="111" ht="39" customHeight="1">
      <c r="B111" s="84" t="n"/>
      <c r="C111" s="84" t="n"/>
      <c r="D111" s="84" t="n"/>
      <c r="E111" s="87" t="n"/>
      <c r="F111" s="87" t="n"/>
      <c r="G111" s="87" t="n"/>
      <c r="H111" s="87" t="n"/>
      <c r="I111" s="86" t="n"/>
      <c r="J111" s="87" t="n"/>
      <c r="K111" s="87" t="n"/>
      <c r="L111" s="86" t="n"/>
      <c r="M111" s="87" t="n"/>
      <c r="N111" s="87" t="n"/>
      <c r="O111" s="87" t="n"/>
    </row>
    <row r="112" ht="39" customHeight="1">
      <c r="B112" s="84" t="n"/>
      <c r="C112" s="84" t="n"/>
      <c r="D112" s="84" t="n"/>
      <c r="E112" s="87" t="n"/>
      <c r="F112" s="87" t="n"/>
      <c r="G112" s="87" t="n"/>
      <c r="H112" s="87" t="n"/>
      <c r="I112" s="86" t="n"/>
      <c r="J112" s="87" t="n"/>
      <c r="K112" s="87" t="n"/>
      <c r="L112" s="86" t="n"/>
      <c r="M112" s="87" t="n"/>
      <c r="N112" s="87" t="n"/>
      <c r="O112" s="87" t="n"/>
    </row>
    <row r="113" ht="39" customHeight="1">
      <c r="B113" s="84" t="n"/>
      <c r="C113" s="84" t="n"/>
      <c r="D113" s="84" t="n"/>
      <c r="E113" s="87" t="n"/>
      <c r="F113" s="87" t="n"/>
      <c r="G113" s="87" t="n"/>
      <c r="H113" s="87" t="n"/>
      <c r="I113" s="86" t="n"/>
      <c r="J113" s="87" t="n"/>
      <c r="K113" s="87" t="n"/>
      <c r="L113" s="86" t="n"/>
      <c r="M113" s="87" t="n"/>
      <c r="N113" s="87" t="n"/>
      <c r="O113" s="87" t="n"/>
    </row>
    <row r="114" ht="39" customHeight="1">
      <c r="B114" s="84" t="n"/>
      <c r="C114" s="84" t="n"/>
      <c r="D114" s="84" t="n"/>
      <c r="E114" s="87" t="n"/>
      <c r="F114" s="87" t="n"/>
      <c r="G114" s="87" t="n"/>
      <c r="H114" s="87" t="n"/>
      <c r="I114" s="86" t="n"/>
      <c r="J114" s="87" t="n"/>
      <c r="K114" s="87" t="n"/>
      <c r="L114" s="86" t="n"/>
      <c r="M114" s="87" t="n"/>
      <c r="N114" s="87" t="n"/>
      <c r="O114" s="87" t="n"/>
    </row>
    <row r="115" ht="39" customHeight="1">
      <c r="B115" s="84" t="n"/>
      <c r="C115" s="84" t="n"/>
      <c r="D115" s="84" t="n"/>
      <c r="E115" s="87" t="n"/>
      <c r="F115" s="87" t="n"/>
      <c r="G115" s="87" t="n"/>
      <c r="H115" s="87" t="n"/>
      <c r="I115" s="86" t="n"/>
      <c r="J115" s="87" t="n"/>
      <c r="K115" s="87" t="n"/>
      <c r="L115" s="86" t="n"/>
      <c r="M115" s="87" t="n"/>
      <c r="N115" s="87" t="n"/>
      <c r="O115" s="87" t="n"/>
    </row>
    <row r="116" ht="39" customHeight="1">
      <c r="B116" s="84" t="n"/>
      <c r="C116" s="84" t="n"/>
      <c r="D116" s="84" t="n"/>
      <c r="E116" s="87" t="n"/>
      <c r="F116" s="87" t="n"/>
      <c r="G116" s="87" t="n"/>
      <c r="H116" s="87" t="n"/>
      <c r="I116" s="86" t="n"/>
      <c r="J116" s="87" t="n"/>
      <c r="K116" s="87" t="n"/>
      <c r="L116" s="86" t="n"/>
      <c r="M116" s="87" t="n"/>
      <c r="N116" s="87" t="n"/>
      <c r="O116" s="87" t="n"/>
    </row>
    <row r="117" ht="39" customHeight="1">
      <c r="B117" s="84" t="n"/>
      <c r="C117" s="84" t="n"/>
      <c r="D117" s="84" t="n"/>
      <c r="E117" s="87" t="n"/>
      <c r="F117" s="87" t="n"/>
      <c r="G117" s="87" t="n"/>
      <c r="H117" s="87" t="n"/>
      <c r="I117" s="86" t="n"/>
      <c r="J117" s="87" t="n"/>
      <c r="K117" s="87" t="n"/>
      <c r="L117" s="86" t="n"/>
      <c r="M117" s="87" t="n"/>
      <c r="N117" s="87" t="n"/>
      <c r="O117" s="87" t="n"/>
    </row>
    <row r="118" ht="39" customFormat="1" customHeight="1" s="71">
      <c r="B118" s="89" t="n"/>
      <c r="C118" s="89" t="n"/>
      <c r="D118" s="89" t="n"/>
      <c r="E118" s="90" t="n"/>
      <c r="F118" s="90" t="n"/>
      <c r="G118" s="90" t="n"/>
      <c r="H118" s="90" t="n"/>
      <c r="I118" s="91" t="n"/>
      <c r="J118" s="90" t="n"/>
      <c r="K118" s="90" t="n"/>
      <c r="L118" s="91" t="n"/>
      <c r="M118" s="90" t="n"/>
      <c r="N118" s="90" t="n"/>
      <c r="O118" s="90" t="n"/>
    </row>
    <row r="119" ht="39" customFormat="1" customHeight="1" s="71">
      <c r="B119" s="89" t="n"/>
      <c r="C119" s="89" t="n"/>
      <c r="D119" s="89" t="n"/>
      <c r="E119" s="90" t="n"/>
      <c r="F119" s="90" t="n"/>
      <c r="G119" s="90" t="n"/>
      <c r="H119" s="90" t="n"/>
      <c r="I119" s="91" t="n"/>
      <c r="J119" s="90" t="n"/>
      <c r="K119" s="90" t="n"/>
      <c r="L119" s="91" t="n"/>
      <c r="M119" s="90" t="n"/>
      <c r="N119" s="90" t="n"/>
      <c r="O119" s="90" t="n"/>
    </row>
    <row r="120" ht="39" customFormat="1" customHeight="1" s="71">
      <c r="B120" s="89" t="n"/>
      <c r="C120" s="89" t="n"/>
      <c r="D120" s="89" t="n"/>
      <c r="E120" s="90" t="n"/>
      <c r="F120" s="90" t="n"/>
      <c r="G120" s="90" t="n"/>
      <c r="H120" s="90" t="n"/>
      <c r="I120" s="91" t="n"/>
      <c r="J120" s="90" t="n"/>
      <c r="K120" s="90" t="n"/>
      <c r="L120" s="91" t="n"/>
      <c r="M120" s="90" t="n"/>
      <c r="N120" s="90" t="n"/>
      <c r="O120" s="90" t="n"/>
    </row>
    <row r="121" ht="39" customFormat="1" customHeight="1" s="71">
      <c r="B121" s="89" t="n"/>
      <c r="C121" s="89" t="n"/>
      <c r="D121" s="89" t="n"/>
      <c r="E121" s="90" t="n"/>
      <c r="F121" s="90" t="n"/>
      <c r="G121" s="90" t="n"/>
      <c r="H121" s="90" t="n"/>
      <c r="I121" s="91" t="n"/>
      <c r="J121" s="90" t="n"/>
      <c r="K121" s="90" t="n"/>
      <c r="L121" s="91" t="n"/>
      <c r="M121" s="90" t="n"/>
      <c r="N121" s="90" t="n"/>
      <c r="O121" s="90" t="n"/>
    </row>
    <row r="122" ht="39" customHeight="1">
      <c r="B122" s="84" t="n"/>
      <c r="C122" s="84" t="n"/>
      <c r="D122" s="84" t="n"/>
      <c r="E122" s="87" t="n"/>
      <c r="F122" s="87" t="n"/>
      <c r="G122" s="87" t="n"/>
      <c r="H122" s="87" t="n"/>
      <c r="I122" s="86" t="n"/>
      <c r="J122" s="87" t="n"/>
      <c r="K122" s="87" t="n"/>
      <c r="L122" s="86" t="n"/>
      <c r="M122" s="87" t="n"/>
      <c r="N122" s="87" t="n"/>
      <c r="O122" s="87" t="n"/>
    </row>
    <row r="123" ht="39" customHeight="1">
      <c r="B123" s="84" t="n"/>
      <c r="C123" s="84" t="n"/>
      <c r="D123" s="84" t="n"/>
      <c r="E123" s="87" t="n"/>
      <c r="F123" s="87" t="n"/>
      <c r="G123" s="87" t="n"/>
      <c r="H123" s="87" t="n"/>
      <c r="I123" s="86" t="n"/>
      <c r="J123" s="87" t="n"/>
      <c r="K123" s="87" t="n"/>
      <c r="L123" s="86" t="n"/>
      <c r="M123" s="87" t="n"/>
      <c r="N123" s="87" t="n"/>
      <c r="O123" s="87" t="n"/>
    </row>
    <row r="124" ht="39" customHeight="1">
      <c r="B124" s="84" t="n"/>
      <c r="C124" s="84" t="n"/>
      <c r="D124" s="84" t="n"/>
      <c r="E124" s="87" t="n"/>
      <c r="F124" s="87" t="n"/>
      <c r="G124" s="87" t="n"/>
      <c r="H124" s="87" t="n"/>
      <c r="I124" s="86" t="n"/>
      <c r="J124" s="87" t="n"/>
      <c r="K124" s="87" t="n"/>
      <c r="L124" s="86" t="n"/>
      <c r="M124" s="87" t="n"/>
      <c r="N124" s="87" t="n"/>
      <c r="O124" s="87" t="n"/>
    </row>
    <row r="125" ht="39" customHeight="1">
      <c r="B125" s="84" t="n"/>
      <c r="C125" s="84" t="n"/>
      <c r="D125" s="84" t="n"/>
      <c r="E125" s="87" t="n"/>
      <c r="F125" s="87" t="n"/>
      <c r="G125" s="87" t="n"/>
      <c r="H125" s="87" t="n"/>
      <c r="I125" s="86" t="n"/>
      <c r="J125" s="87" t="n"/>
      <c r="K125" s="87" t="n"/>
      <c r="L125" s="86" t="n"/>
      <c r="M125" s="87" t="n"/>
      <c r="N125" s="87" t="n"/>
      <c r="O125" s="87" t="n"/>
    </row>
    <row r="126" ht="39" customHeight="1">
      <c r="B126" s="84" t="n"/>
      <c r="C126" s="84" t="n"/>
      <c r="D126" s="84" t="n"/>
      <c r="E126" s="87" t="n"/>
      <c r="F126" s="87" t="n"/>
      <c r="G126" s="87" t="n"/>
      <c r="H126" s="87" t="n"/>
      <c r="I126" s="86" t="n"/>
      <c r="J126" s="87" t="n"/>
      <c r="K126" s="87" t="n"/>
      <c r="L126" s="86" t="n"/>
      <c r="M126" s="87" t="n"/>
      <c r="N126" s="87" t="n"/>
      <c r="O126" s="87" t="n"/>
    </row>
    <row r="127" ht="39" customHeight="1">
      <c r="B127" s="84" t="n"/>
      <c r="C127" s="84" t="n"/>
      <c r="D127" s="84" t="n"/>
      <c r="E127" s="87" t="n"/>
      <c r="F127" s="87" t="n"/>
      <c r="G127" s="87" t="n"/>
      <c r="H127" s="87" t="n"/>
      <c r="I127" s="86" t="n"/>
      <c r="J127" s="87" t="n"/>
      <c r="K127" s="87" t="n"/>
      <c r="L127" s="86" t="n"/>
      <c r="M127" s="87" t="n"/>
      <c r="N127" s="87" t="n"/>
      <c r="O127" s="87" t="n"/>
    </row>
    <row r="128" ht="39" customHeight="1">
      <c r="B128" s="84" t="n"/>
      <c r="C128" s="84" t="n"/>
      <c r="D128" s="84" t="n"/>
      <c r="E128" s="87" t="n"/>
      <c r="F128" s="87" t="n"/>
      <c r="G128" s="87" t="n"/>
      <c r="H128" s="87" t="n"/>
      <c r="I128" s="86" t="n"/>
      <c r="J128" s="87" t="n"/>
      <c r="K128" s="87" t="n"/>
      <c r="L128" s="86" t="n"/>
      <c r="M128" s="87" t="n"/>
      <c r="N128" s="87" t="n"/>
      <c r="O128" s="87" t="n"/>
    </row>
    <row r="129" ht="39" customHeight="1">
      <c r="B129" s="84" t="n"/>
      <c r="C129" s="84" t="n"/>
      <c r="D129" s="84" t="n"/>
      <c r="E129" s="87" t="n"/>
      <c r="F129" s="87" t="n"/>
      <c r="G129" s="87" t="n"/>
      <c r="H129" s="87" t="n"/>
      <c r="I129" s="86" t="n"/>
      <c r="J129" s="87" t="n"/>
      <c r="K129" s="87" t="n"/>
      <c r="L129" s="86" t="n"/>
      <c r="M129" s="87" t="n"/>
      <c r="N129" s="87" t="n"/>
      <c r="O129" s="87" t="n"/>
    </row>
    <row r="130" ht="39" customHeight="1">
      <c r="B130" s="84" t="n"/>
      <c r="C130" s="84" t="n"/>
      <c r="D130" s="84" t="n"/>
      <c r="E130" s="87" t="n"/>
      <c r="F130" s="87" t="n"/>
      <c r="G130" s="87" t="n"/>
      <c r="H130" s="87" t="n"/>
      <c r="I130" s="86" t="n"/>
      <c r="J130" s="87" t="n"/>
      <c r="K130" s="87" t="n"/>
      <c r="L130" s="86" t="n"/>
      <c r="M130" s="87" t="n"/>
      <c r="N130" s="87" t="n"/>
      <c r="O130" s="87" t="n"/>
    </row>
    <row r="131" ht="39" customHeight="1">
      <c r="B131" s="84" t="n"/>
      <c r="C131" s="85" t="n"/>
      <c r="D131" s="85" t="n"/>
      <c r="E131" s="87" t="n"/>
      <c r="F131" s="87" t="n"/>
      <c r="G131" s="87" t="n"/>
      <c r="H131" s="87" t="n"/>
      <c r="I131" s="86" t="n"/>
      <c r="J131" s="87" t="n"/>
      <c r="K131" s="87" t="n"/>
      <c r="L131" s="86" t="n"/>
      <c r="M131" s="87" t="n"/>
      <c r="N131" s="87" t="n"/>
      <c r="O131" s="87" t="n"/>
    </row>
    <row r="132" ht="39" customHeight="1">
      <c r="B132" s="84" t="n"/>
      <c r="C132" s="87" t="n"/>
      <c r="D132" s="87" t="n"/>
      <c r="E132" s="87" t="n"/>
      <c r="F132" s="87" t="n"/>
      <c r="G132" s="87" t="n"/>
      <c r="H132" s="87" t="n"/>
      <c r="I132" s="86" t="n"/>
      <c r="J132" s="87" t="n"/>
      <c r="K132" s="87" t="n"/>
      <c r="L132" s="86" t="n"/>
      <c r="M132" s="87" t="n"/>
      <c r="N132" s="87" t="n"/>
      <c r="O132" s="87" t="n"/>
    </row>
    <row r="133" ht="39" customHeight="1">
      <c r="B133" s="84" t="n"/>
      <c r="C133" s="92" t="n"/>
      <c r="D133" s="92" t="n"/>
      <c r="E133" s="87" t="n"/>
      <c r="F133" s="87" t="n"/>
      <c r="G133" s="87" t="n"/>
      <c r="H133" s="87" t="n"/>
      <c r="I133" s="86" t="n"/>
      <c r="J133" s="87" t="n"/>
      <c r="K133" s="87" t="n"/>
      <c r="L133" s="86" t="n"/>
      <c r="M133" s="87" t="n"/>
      <c r="N133" s="87" t="n"/>
      <c r="O133" s="87" t="n"/>
    </row>
    <row r="134" ht="66" customHeight="1">
      <c r="B134" s="84" t="n"/>
      <c r="C134" s="92" t="n"/>
      <c r="D134" s="92" t="n"/>
      <c r="E134" s="87" t="n"/>
      <c r="F134" s="87" t="n"/>
      <c r="G134" s="87" t="n"/>
      <c r="H134" s="87" t="n"/>
      <c r="I134" s="86" t="n"/>
      <c r="J134" s="87" t="n"/>
      <c r="K134" s="87" t="n"/>
      <c r="L134" s="86" t="n"/>
      <c r="M134" s="87" t="n"/>
      <c r="N134" s="87" t="n"/>
      <c r="O134" s="87" t="n"/>
    </row>
    <row r="135" ht="39" customHeight="1">
      <c r="B135" s="84" t="n"/>
      <c r="C135" s="92" t="n"/>
      <c r="D135" s="92" t="n"/>
      <c r="E135" s="87" t="n"/>
      <c r="F135" s="87" t="n"/>
      <c r="G135" s="87" t="n"/>
      <c r="H135" s="87" t="n"/>
      <c r="I135" s="86" t="n"/>
      <c r="J135" s="87" t="n"/>
      <c r="K135" s="87" t="n"/>
      <c r="L135" s="86" t="n"/>
      <c r="M135" s="87" t="n"/>
      <c r="N135" s="87" t="n"/>
      <c r="O135" s="87" t="n"/>
    </row>
    <row r="136" ht="39" customHeight="1">
      <c r="B136" s="84" t="n"/>
      <c r="C136" s="92" t="n"/>
      <c r="D136" s="92" t="n"/>
      <c r="E136" s="87" t="n"/>
      <c r="F136" s="87" t="n"/>
      <c r="G136" s="87" t="n"/>
      <c r="H136" s="87" t="n"/>
      <c r="I136" s="86" t="n"/>
      <c r="J136" s="87" t="n"/>
      <c r="K136" s="87" t="n"/>
      <c r="L136" s="86" t="n"/>
      <c r="M136" s="87" t="n"/>
      <c r="N136" s="87" t="n"/>
      <c r="O136" s="87" t="n"/>
    </row>
    <row r="137" ht="39" customHeight="1">
      <c r="B137" s="84" t="n"/>
      <c r="C137" s="92" t="n"/>
      <c r="D137" s="92" t="n"/>
      <c r="E137" s="87" t="n"/>
      <c r="F137" s="87" t="n"/>
      <c r="G137" s="87" t="n"/>
      <c r="H137" s="87" t="n"/>
      <c r="I137" s="86" t="n"/>
      <c r="J137" s="87" t="n"/>
      <c r="K137" s="87" t="n"/>
      <c r="L137" s="86" t="n"/>
      <c r="M137" s="87" t="n"/>
      <c r="N137" s="87" t="n"/>
      <c r="O137" s="87" t="n"/>
    </row>
    <row r="138" ht="39" customHeight="1">
      <c r="B138" s="84" t="n"/>
      <c r="C138" s="92" t="n"/>
      <c r="D138" s="92" t="n"/>
      <c r="E138" s="87" t="n"/>
      <c r="F138" s="87" t="n"/>
      <c r="G138" s="87" t="n"/>
      <c r="H138" s="87" t="n"/>
      <c r="I138" s="86" t="n"/>
      <c r="J138" s="87" t="n"/>
      <c r="K138" s="87" t="n"/>
      <c r="L138" s="86" t="n"/>
      <c r="M138" s="87" t="n"/>
      <c r="N138" s="87" t="n"/>
      <c r="O138" s="87" t="n"/>
    </row>
    <row r="139" ht="39" customHeight="1">
      <c r="B139" s="84" t="n"/>
      <c r="C139" s="92" t="n"/>
      <c r="D139" s="92" t="n"/>
      <c r="E139" s="87" t="n"/>
      <c r="F139" s="87" t="n"/>
      <c r="G139" s="87" t="n"/>
      <c r="H139" s="87" t="n"/>
      <c r="I139" s="86" t="n"/>
      <c r="J139" s="87" t="n"/>
      <c r="K139" s="87" t="n"/>
      <c r="L139" s="86" t="n"/>
      <c r="M139" s="87" t="n"/>
      <c r="N139" s="87" t="n"/>
      <c r="O139" s="87" t="n"/>
    </row>
    <row r="140" ht="39" customHeight="1">
      <c r="B140" s="84" t="n"/>
      <c r="C140" s="92" t="n"/>
      <c r="D140" s="92" t="n"/>
      <c r="E140" s="87" t="n"/>
      <c r="F140" s="87" t="n"/>
      <c r="G140" s="87" t="n"/>
      <c r="H140" s="87" t="n"/>
      <c r="I140" s="86" t="n"/>
      <c r="J140" s="87" t="n"/>
      <c r="K140" s="87" t="n"/>
      <c r="L140" s="86" t="n"/>
      <c r="M140" s="87" t="n"/>
      <c r="N140" s="87" t="n"/>
      <c r="O140" s="87" t="n"/>
    </row>
    <row r="141" ht="39" customHeight="1">
      <c r="B141" s="84" t="n"/>
      <c r="C141" s="92" t="n"/>
      <c r="D141" s="92" t="n"/>
      <c r="E141" s="87" t="n"/>
      <c r="F141" s="87" t="n"/>
      <c r="G141" s="87" t="n"/>
      <c r="H141" s="87" t="n"/>
      <c r="I141" s="86" t="n"/>
      <c r="J141" s="87" t="n"/>
      <c r="K141" s="87" t="n"/>
      <c r="L141" s="86" t="n"/>
      <c r="M141" s="87" t="n"/>
      <c r="N141" s="87" t="n"/>
      <c r="O141" s="87" t="n"/>
    </row>
    <row r="142">
      <c r="B142" s="84" t="n"/>
      <c r="C142" s="85" t="n"/>
      <c r="D142" s="85" t="n"/>
      <c r="E142" s="87" t="n"/>
      <c r="F142" s="87" t="n"/>
      <c r="G142" s="87" t="n"/>
      <c r="H142" s="87" t="n"/>
      <c r="I142" s="86" t="n"/>
      <c r="J142" s="87" t="n"/>
      <c r="K142" s="87" t="n"/>
      <c r="L142" s="86" t="n"/>
      <c r="M142" s="87" t="n"/>
      <c r="N142" s="87" t="n"/>
      <c r="O142" s="87" t="n"/>
    </row>
    <row r="143" ht="45" customHeight="1">
      <c r="B143" s="84" t="n"/>
      <c r="C143" s="85" t="n"/>
      <c r="D143" s="85" t="n"/>
      <c r="E143" s="87" t="n"/>
      <c r="F143" s="87" t="n"/>
      <c r="G143" s="87" t="n"/>
      <c r="H143" s="87" t="n"/>
      <c r="I143" s="86" t="n"/>
      <c r="J143" s="87" t="n"/>
      <c r="K143" s="87" t="n"/>
      <c r="L143" s="86" t="n"/>
      <c r="M143" s="87" t="n"/>
      <c r="N143" s="87" t="n"/>
      <c r="O143" s="87" t="n"/>
    </row>
    <row r="144" ht="38" customHeight="1">
      <c r="B144" s="84" t="n"/>
      <c r="C144" s="85" t="n"/>
      <c r="D144" s="85" t="n"/>
      <c r="E144" s="87" t="n"/>
      <c r="F144" s="87" t="n"/>
      <c r="G144" s="87" t="n"/>
      <c r="H144" s="87" t="n"/>
      <c r="I144" s="86" t="n"/>
      <c r="J144" s="87" t="n"/>
      <c r="K144" s="87" t="n"/>
      <c r="L144" s="86" t="n"/>
      <c r="M144" s="87" t="n"/>
      <c r="N144" s="87" t="n"/>
      <c r="O144" s="87" t="n"/>
    </row>
    <row r="145" ht="38" customHeight="1">
      <c r="B145" s="84" t="n"/>
      <c r="C145" s="85" t="n"/>
      <c r="D145" s="85" t="n"/>
      <c r="E145" s="87" t="n"/>
      <c r="F145" s="87" t="n"/>
      <c r="G145" s="87" t="n"/>
      <c r="H145" s="87" t="n"/>
      <c r="I145" s="86" t="n"/>
      <c r="J145" s="87" t="n"/>
      <c r="K145" s="86" t="n"/>
      <c r="L145" s="86" t="n"/>
      <c r="M145" s="87" t="n"/>
      <c r="N145" s="87" t="n"/>
      <c r="O145" s="87" t="n"/>
    </row>
    <row r="146" ht="38" customHeight="1">
      <c r="B146" s="84" t="n"/>
      <c r="C146" s="87" t="n"/>
      <c r="D146" s="87" t="n"/>
      <c r="E146" s="87" t="n"/>
      <c r="F146" s="87" t="n"/>
      <c r="G146" s="87" t="n"/>
      <c r="H146" s="87" t="n"/>
      <c r="I146" s="86" t="n"/>
      <c r="J146" s="87" t="n"/>
      <c r="K146" s="87" t="n"/>
      <c r="L146" s="86" t="n"/>
      <c r="M146" s="87" t="n"/>
      <c r="N146" s="87" t="n"/>
      <c r="O146" s="87" t="n"/>
    </row>
    <row r="147" ht="38" customHeight="1">
      <c r="B147" s="87" t="n"/>
      <c r="C147" s="87" t="n"/>
      <c r="D147" s="87" t="n"/>
      <c r="E147" s="87" t="n"/>
      <c r="F147" s="87" t="n"/>
      <c r="G147" s="87" t="n"/>
      <c r="H147" s="87" t="n"/>
      <c r="I147" s="86" t="n"/>
      <c r="J147" s="87" t="n"/>
      <c r="K147" s="87" t="n"/>
      <c r="L147" s="86" t="n"/>
      <c r="M147" s="87" t="n"/>
      <c r="N147" s="87" t="n"/>
      <c r="O147" s="87" t="n"/>
    </row>
    <row r="148" ht="38" customHeight="1">
      <c r="B148" s="87" t="n"/>
      <c r="C148" s="87" t="n"/>
      <c r="D148" s="87" t="n"/>
      <c r="E148" s="87" t="n"/>
      <c r="F148" s="87" t="n"/>
      <c r="G148" s="87" t="n"/>
      <c r="H148" s="87" t="n"/>
      <c r="I148" s="86" t="n"/>
      <c r="J148" s="87" t="n"/>
      <c r="K148" s="87" t="n"/>
      <c r="L148" s="86" t="n"/>
      <c r="M148" s="87" t="n"/>
      <c r="N148" s="87" t="n"/>
      <c r="O148" s="87" t="n"/>
    </row>
  </sheetData>
  <mergeCells count="2">
    <mergeCell ref="B1:C1"/>
    <mergeCell ref="B2:C2"/>
  </mergeCell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fitToPage="1"/>
  </sheetPr>
  <dimension ref="A1:M1075"/>
  <sheetViews>
    <sheetView showGridLines="0" tabSelected="1" zoomScale="70" zoomScaleNormal="70" workbookViewId="0">
      <pane ySplit="2" topLeftCell="A26" activePane="bottomLeft" state="frozen"/>
      <selection activeCell="A1" sqref="A1"/>
      <selection pane="bottomLeft" activeCell="I35" sqref="I35"/>
    </sheetView>
  </sheetViews>
  <sheetFormatPr baseColWidth="8" defaultColWidth="6.08333333333333" defaultRowHeight="15" customHeight="1"/>
  <cols>
    <col width="12.25" customWidth="1" style="23" min="1" max="1"/>
    <col width="6.58333333333333" customWidth="1" style="23" min="2" max="2"/>
    <col width="14.5" customWidth="1" style="23" min="3" max="3"/>
    <col width="27.9166666666667" customWidth="1" style="23" min="4" max="4"/>
    <col width="34.25" customWidth="1" style="23" min="5" max="5"/>
    <col width="16.1666666666667" customWidth="1" style="23" min="6" max="6"/>
    <col width="27.5" customWidth="1" style="23" min="7" max="7"/>
    <col width="27.9666666666667" customWidth="1" style="23" min="8" max="8"/>
    <col width="16.8333333333333" customWidth="1" style="23" min="9" max="9"/>
    <col width="15.9166666666667" customWidth="1" style="23" min="10" max="10"/>
    <col width="19.4166666666667" customWidth="1" style="23" min="11" max="12"/>
    <col width="15.75" customWidth="1" style="23" min="13" max="13"/>
    <col width="6.08333333333333" customWidth="1" style="23" min="14" max="14"/>
    <col width="6.08333333333333" customWidth="1" style="23" min="15" max="16384"/>
  </cols>
  <sheetData>
    <row r="1" ht="35.25" customHeight="1">
      <c r="A1" s="24" t="inlineStr">
        <is>
          <t>SW DFA</t>
        </is>
      </c>
      <c r="B1" s="159" t="n"/>
      <c r="C1" s="159" t="n"/>
      <c r="D1" s="159" t="n"/>
      <c r="E1" s="159" t="n"/>
      <c r="F1" s="159" t="n"/>
      <c r="G1" s="159" t="n"/>
      <c r="H1" s="159" t="n"/>
      <c r="I1" s="159" t="n"/>
      <c r="J1" s="159" t="n"/>
      <c r="K1" s="159" t="n"/>
      <c r="L1" s="159" t="n"/>
      <c r="M1" s="182" t="n"/>
    </row>
    <row r="3" ht="75" customFormat="1" customHeight="1" s="36">
      <c r="A3" s="30">
        <f>'[25]Top Event'!B4</f>
        <v/>
      </c>
      <c r="B3" s="31" t="n"/>
      <c r="C3" s="32">
        <f>'Top Event'!C4</f>
        <v/>
      </c>
      <c r="D3" s="31">
        <f>'Top Event'!D4</f>
        <v/>
      </c>
      <c r="E3" s="33">
        <f>'Top Event'!E4</f>
        <v/>
      </c>
      <c r="F3" s="66" t="n"/>
      <c r="G3" s="66" t="n"/>
      <c r="H3" s="64" t="n"/>
      <c r="I3" s="64" t="n"/>
      <c r="J3" s="36" t="n"/>
      <c r="K3" s="36" t="n"/>
      <c r="L3" s="36" t="n"/>
      <c r="M3" s="36" t="n"/>
    </row>
    <row r="4" ht="37.25" customFormat="1" customHeight="1" s="36">
      <c r="A4" s="37" t="n"/>
      <c r="B4" s="37" t="inlineStr">
        <is>
          <t>公式格式，误删</t>
        </is>
      </c>
      <c r="C4" s="38" t="inlineStr">
        <is>
          <t>DF-I Category</t>
        </is>
      </c>
      <c r="D4" s="38" t="inlineStr">
        <is>
          <t>Interpretation</t>
        </is>
      </c>
      <c r="E4" s="38" t="inlineStr">
        <is>
          <t>DF-Initiator Examples</t>
        </is>
      </c>
      <c r="F4" s="38" t="inlineStr">
        <is>
          <t>Applicable?</t>
        </is>
      </c>
      <c r="G4" s="38" t="inlineStr">
        <is>
          <t>safety  goal related</t>
        </is>
      </c>
      <c r="H4" s="39" t="inlineStr">
        <is>
          <t>Counter Measure</t>
        </is>
      </c>
      <c r="I4" s="39" t="inlineStr">
        <is>
          <t>Counter Measure ID</t>
        </is>
      </c>
      <c r="J4" s="38" t="inlineStr">
        <is>
          <t>Evidence</t>
        </is>
      </c>
      <c r="K4" s="38" t="inlineStr">
        <is>
          <t>sufficient?</t>
        </is>
      </c>
      <c r="L4" s="40" t="inlineStr">
        <is>
          <t>当前是否满足,如不满足新的机制说明</t>
        </is>
      </c>
      <c r="M4" s="41" t="inlineStr">
        <is>
          <t>Comment</t>
        </is>
      </c>
    </row>
    <row r="5" outlineLevel="1" ht="86" customFormat="1" customHeight="1" s="36">
      <c r="A5" s="37">
        <f>A3&amp;"_"&amp;B5</f>
        <v/>
      </c>
      <c r="B5" s="42" t="n">
        <v>1</v>
      </c>
      <c r="C5" s="183" t="inlineStr">
        <is>
          <t>Shared resource</t>
        </is>
      </c>
      <c r="D5" s="184" t="inlineStr">
        <is>
          <t>The same software, hardware, or system element instance used by the two elements which are therefore affected by the failure or unavailability of that shared resource, i.e. from a physical perspective.</t>
        </is>
      </c>
      <c r="E5" s="45" t="inlineStr">
        <is>
          <t>Software component used by more than one other software component, e.g.
– reused standard software modules
被多个其他软件组件所使用的软件组件，例如：
– 重复使用的标准软件模块</t>
        </is>
      </c>
      <c r="F5" s="45" t="inlineStr">
        <is>
          <t xml:space="preserve">Yes </t>
        </is>
      </c>
      <c r="G5" s="46" t="inlineStr">
        <is>
          <t>系统时钟管理故障后无法输入给SPI， CAN ，ADC，WDG，GPIO， PWM，NVM时钟造成模块失效导致功能无法点亮，违背安全目标SG1,SG2.SG3</t>
        </is>
      </c>
      <c r="H5" s="47" t="inlineStr">
        <is>
          <t>1：支持硬线制动灯点亮：
2：支持停振检测，时钟异常时可以实时检测并尝试恢复</t>
        </is>
      </c>
      <c r="I5" s="47" t="inlineStr">
        <is>
          <t>SW_DFA_SM_001
SW_DFA_SM_002</t>
        </is>
      </c>
      <c r="J5" s="48" t="inlineStr">
        <is>
          <t>通过集成测试</t>
        </is>
      </c>
      <c r="K5" s="49" t="inlineStr">
        <is>
          <t>满足ASILB开发和测试</t>
        </is>
      </c>
      <c r="L5" s="49" t="n"/>
      <c r="M5" s="49" t="n"/>
    </row>
    <row r="6" outlineLevel="1" ht="28.5" customFormat="1" customHeight="1" s="36">
      <c r="A6" s="37">
        <f>A3&amp;"_"&amp;B6</f>
        <v/>
      </c>
      <c r="B6" s="50" t="n">
        <v>2</v>
      </c>
      <c r="C6" s="185" t="n"/>
      <c r="D6" s="185" t="n"/>
      <c r="E6" s="45" t="inlineStr">
        <is>
          <t>– libraries
库</t>
        </is>
      </c>
      <c r="F6" s="53" t="inlineStr">
        <is>
          <t>not applicable</t>
        </is>
      </c>
      <c r="G6" s="54" t="n"/>
      <c r="H6" s="47" t="n"/>
      <c r="I6" s="47" t="n"/>
      <c r="J6" s="49" t="n"/>
      <c r="K6" s="49" t="n"/>
      <c r="L6" s="49" t="n"/>
      <c r="M6" s="49" t="n"/>
    </row>
    <row r="7" outlineLevel="1" ht="28.5" customFormat="1" customHeight="1" s="36">
      <c r="A7" s="37">
        <f>A3&amp;"_"&amp;B7</f>
        <v/>
      </c>
      <c r="B7" s="42" t="n">
        <v>3</v>
      </c>
      <c r="C7" s="185" t="n"/>
      <c r="D7" s="185" t="n"/>
      <c r="E7" s="45" t="inlineStr">
        <is>
          <t>– middleware
中间件</t>
        </is>
      </c>
      <c r="F7" s="53" t="inlineStr">
        <is>
          <t>not applicable</t>
        </is>
      </c>
      <c r="G7" s="55" t="n"/>
      <c r="H7" s="47" t="n"/>
      <c r="I7" s="47" t="n"/>
      <c r="J7" s="49" t="n"/>
      <c r="K7" s="49" t="n"/>
      <c r="L7" s="49" t="n"/>
      <c r="M7" s="49" t="n"/>
    </row>
    <row r="8" outlineLevel="1" ht="78" customFormat="1" customHeight="1" s="36">
      <c r="A8" s="37">
        <f>A3&amp;"_"&amp;B8</f>
        <v/>
      </c>
      <c r="B8" s="50" t="n">
        <v>4</v>
      </c>
      <c r="C8" s="185" t="n"/>
      <c r="D8" s="185" t="n"/>
      <c r="E8" s="45" t="inlineStr">
        <is>
          <t>– basic software
基本软件</t>
        </is>
      </c>
      <c r="F8" s="45" t="inlineStr">
        <is>
          <t xml:space="preserve">Yes </t>
        </is>
      </c>
      <c r="G8" s="46" t="inlineStr">
        <is>
          <t>系统时钟管理故障后无法输入给SPI， CAN ，ADC，WDG，GPIO， PWM，NVM时钟造成模块失效导致功能无法点亮，违背安全目标SG1,SG2.SG3</t>
        </is>
      </c>
      <c r="H8" s="47" t="inlineStr">
        <is>
          <t>1：支持硬线制动灯点亮：
2：支持停振检测，时钟异常时可以实时检测并尝试恢复</t>
        </is>
      </c>
      <c r="I8" s="47" t="inlineStr">
        <is>
          <t>SW_DFA_SM_001
SW_DFA_SM_002</t>
        </is>
      </c>
      <c r="J8" s="48" t="inlineStr">
        <is>
          <t>通过集成测试</t>
        </is>
      </c>
      <c r="K8" s="49" t="inlineStr">
        <is>
          <t>满足ASILB开发和测试</t>
        </is>
      </c>
      <c r="L8" s="49" t="n"/>
      <c r="M8" s="49" t="n"/>
    </row>
    <row r="9" outlineLevel="1" ht="43.5" customFormat="1" customHeight="1" s="36">
      <c r="A9" s="37">
        <f>A3&amp;"_"&amp;B9</f>
        <v/>
      </c>
      <c r="B9" s="42" t="n">
        <v>5</v>
      </c>
      <c r="C9" s="185" t="n"/>
      <c r="D9" s="185" t="n"/>
      <c r="E9" s="45" t="inlineStr">
        <is>
          <t xml:space="preserve">– operating system including scheduler
——包含调度器的操作系统
</t>
        </is>
      </c>
      <c r="F9" s="53" t="inlineStr">
        <is>
          <t>not applicable</t>
        </is>
      </c>
      <c r="G9" s="55" t="n"/>
      <c r="H9" s="47" t="n"/>
      <c r="I9" s="47" t="n"/>
      <c r="J9" s="49" t="n"/>
      <c r="K9" s="49" t="n"/>
      <c r="L9" s="49" t="n"/>
      <c r="M9" s="49" t="n"/>
    </row>
    <row r="10" outlineLevel="1" ht="28.5" customFormat="1" customHeight="1" s="36">
      <c r="A10" s="37">
        <f>A3&amp;"_"&amp;B10</f>
        <v/>
      </c>
      <c r="B10" s="50" t="n">
        <v>6</v>
      </c>
      <c r="C10" s="185" t="n"/>
      <c r="D10" s="185" t="n"/>
      <c r="E10" s="45" t="inlineStr">
        <is>
          <t>– communication stack
通信协议栈</t>
        </is>
      </c>
      <c r="F10" s="53" t="inlineStr">
        <is>
          <t>not applicable</t>
        </is>
      </c>
      <c r="G10" s="55" t="n"/>
      <c r="H10" s="47" t="n"/>
      <c r="I10" s="47" t="n"/>
      <c r="J10" s="49" t="n"/>
      <c r="K10" s="49" t="n"/>
      <c r="L10" s="49" t="n"/>
      <c r="M10" s="49" t="n"/>
    </row>
    <row r="11" outlineLevel="1" ht="29" customFormat="1" customHeight="1" s="36">
      <c r="A11" s="37">
        <f>A3&amp;"_"&amp;B11</f>
        <v/>
      </c>
      <c r="B11" s="42" t="n">
        <v>7</v>
      </c>
      <c r="C11" s="185" t="n"/>
      <c r="D11" s="185" t="n"/>
      <c r="E11" s="45" t="inlineStr">
        <is>
          <t xml:space="preserve">– parameter file参数文件
</t>
        </is>
      </c>
      <c r="F11" s="53" t="inlineStr">
        <is>
          <t>not applicable</t>
        </is>
      </c>
      <c r="G11" s="55" t="n"/>
      <c r="H11" s="47" t="n"/>
      <c r="I11" s="47" t="n"/>
      <c r="J11" s="49" t="n"/>
      <c r="K11" s="49" t="n"/>
      <c r="L11" s="49" t="n"/>
      <c r="M11" s="49" t="n"/>
    </row>
    <row r="12" outlineLevel="1" ht="28.5" customFormat="1" customHeight="1" s="36">
      <c r="A12" s="37">
        <f>A3&amp;"_"&amp;B12</f>
        <v/>
      </c>
      <c r="B12" s="50" t="n">
        <v>8</v>
      </c>
      <c r="C12" s="185" t="n"/>
      <c r="D12" s="185" t="n"/>
      <c r="E12" s="45" t="inlineStr">
        <is>
          <t>– execution time
执行时间</t>
        </is>
      </c>
      <c r="F12" s="53" t="inlineStr">
        <is>
          <t>not applicable</t>
        </is>
      </c>
      <c r="G12" s="55" t="n"/>
      <c r="H12" s="47" t="n"/>
      <c r="I12" s="47" t="n"/>
      <c r="J12" s="49" t="n"/>
      <c r="K12" s="49" t="n"/>
      <c r="L12" s="49" t="n"/>
      <c r="M12" s="49" t="n"/>
    </row>
    <row r="13" outlineLevel="1" ht="14.5" customFormat="1" customHeight="1" s="36">
      <c r="A13" s="37">
        <f>A3&amp;"_"&amp;B13</f>
        <v/>
      </c>
      <c r="B13" s="42" t="n">
        <v>9</v>
      </c>
      <c r="C13" s="186" t="n"/>
      <c r="D13" s="186" t="n"/>
      <c r="E13" s="45" t="inlineStr">
        <is>
          <t>– allocated memory</t>
        </is>
      </c>
      <c r="F13" s="53" t="inlineStr">
        <is>
          <t>not applicable</t>
        </is>
      </c>
      <c r="G13" s="55" t="n"/>
      <c r="H13" s="47" t="n"/>
      <c r="I13" s="47" t="n"/>
      <c r="J13" s="49" t="n"/>
      <c r="K13" s="49" t="n"/>
      <c r="L13" s="49" t="n"/>
      <c r="M13" s="49" t="n"/>
    </row>
    <row r="14" outlineLevel="1" ht="28.5" customFormat="1" customHeight="1" s="36">
      <c r="A14" s="37">
        <f>A3&amp;"_"&amp;B14</f>
        <v/>
      </c>
      <c r="B14" s="50" t="n">
        <v>10</v>
      </c>
      <c r="C14" s="187" t="inlineStr">
        <is>
          <t>Components of
identical type</t>
        </is>
      </c>
      <c r="D14" s="187" t="inlineStr">
        <is>
          <t>Identical components may fail with higher probability simultaneously (common mode failures)</t>
        </is>
      </c>
      <c r="E14" s="45" t="inlineStr">
        <is>
          <t>• Reused standard software modules
重复使用的标准软件模块</t>
        </is>
      </c>
      <c r="F14" s="53" t="inlineStr">
        <is>
          <t>not applicable</t>
        </is>
      </c>
      <c r="G14" s="55" t="n"/>
      <c r="H14" s="47" t="n"/>
      <c r="I14" s="47" t="n"/>
      <c r="J14" s="49" t="n"/>
      <c r="K14" s="49" t="n"/>
      <c r="L14" s="49" t="n"/>
      <c r="M14" s="49" t="n"/>
    </row>
    <row r="15" outlineLevel="1" ht="78" customFormat="1" customHeight="1" s="36">
      <c r="A15" s="37">
        <f>A3&amp;"_"&amp;B15</f>
        <v/>
      </c>
      <c r="B15" s="42" t="n">
        <v>11</v>
      </c>
      <c r="C15" s="185" t="n"/>
      <c r="D15" s="185" t="n"/>
      <c r="E15" s="45" t="inlineStr">
        <is>
          <t>• Standard library components
标准库组件</t>
        </is>
      </c>
      <c r="F15" s="45" t="inlineStr">
        <is>
          <t xml:space="preserve">Yes </t>
        </is>
      </c>
      <c r="G15" s="46" t="inlineStr">
        <is>
          <t>系统时钟管理故障后无法输入给SPI， CAN ，ADC，WDG，GPIO， PWM，NVM时钟造成模块失效导致功能无法点亮，违背安全目标SG1,SG2.SG3</t>
        </is>
      </c>
      <c r="H15" s="47" t="inlineStr">
        <is>
          <t>1：支持硬线制动灯点亮：
2：支持停振检测，时钟异常时可以实时检测并尝试恢复</t>
        </is>
      </c>
      <c r="I15" s="47" t="inlineStr">
        <is>
          <t>SW_DFA_SM_001
SW_DFA_SM_002</t>
        </is>
      </c>
      <c r="J15" s="48" t="inlineStr">
        <is>
          <t>通过集成测试</t>
        </is>
      </c>
      <c r="K15" s="49" t="inlineStr">
        <is>
          <t>满足ASILB开发和测试</t>
        </is>
      </c>
      <c r="L15" s="49" t="n"/>
      <c r="M15" s="49" t="n"/>
    </row>
    <row r="16" outlineLevel="1" ht="28.5" customFormat="1" customHeight="1" s="36">
      <c r="A16" s="37">
        <f>A3&amp;"_"&amp;B16</f>
        <v/>
      </c>
      <c r="B16" s="50" t="n">
        <v>12</v>
      </c>
      <c r="C16" s="185" t="n"/>
      <c r="D16" s="185" t="n"/>
      <c r="E16" s="45" t="inlineStr">
        <is>
          <t>• Middleware
中间件</t>
        </is>
      </c>
      <c r="F16" s="53" t="inlineStr">
        <is>
          <t>not applicable</t>
        </is>
      </c>
      <c r="G16" s="55" t="n"/>
      <c r="H16" s="47" t="n"/>
      <c r="I16" s="47" t="n"/>
      <c r="J16" s="49" t="n"/>
      <c r="K16" s="49" t="n"/>
      <c r="L16" s="49" t="n"/>
      <c r="M16" s="49" t="n"/>
    </row>
    <row r="17" outlineLevel="1" ht="28.5" customFormat="1" customHeight="1" s="36">
      <c r="A17" s="37">
        <f>A3&amp;"_"&amp;B17</f>
        <v/>
      </c>
      <c r="B17" s="42" t="n">
        <v>13</v>
      </c>
      <c r="C17" s="185" t="n"/>
      <c r="D17" s="185" t="n"/>
      <c r="E17" s="45" t="inlineStr">
        <is>
          <t>• Operating system
操作系统</t>
        </is>
      </c>
      <c r="F17" s="53" t="inlineStr">
        <is>
          <t>not applicable</t>
        </is>
      </c>
      <c r="G17" s="55" t="n"/>
      <c r="H17" s="47" t="n"/>
      <c r="I17" s="47" t="n"/>
      <c r="J17" s="49" t="n"/>
      <c r="K17" s="49" t="n"/>
      <c r="L17" s="49" t="n"/>
      <c r="M17" s="49" t="n"/>
    </row>
    <row r="18" outlineLevel="1" ht="28.5" customFormat="1" customHeight="1" s="36">
      <c r="A18" s="37">
        <f>A3&amp;"_"&amp;B18</f>
        <v/>
      </c>
      <c r="B18" s="50" t="n">
        <v>14</v>
      </c>
      <c r="C18" s="185" t="n"/>
      <c r="D18" s="185" t="n"/>
      <c r="E18" s="45" t="inlineStr">
        <is>
          <t>• Communication stack
通信栈</t>
        </is>
      </c>
      <c r="F18" s="53" t="inlineStr">
        <is>
          <t>not applicable</t>
        </is>
      </c>
      <c r="G18" s="55" t="n"/>
      <c r="H18" s="47" t="n"/>
      <c r="I18" s="47" t="n"/>
      <c r="J18" s="49" t="n"/>
      <c r="K18" s="49" t="n"/>
      <c r="L18" s="49" t="n"/>
      <c r="M18" s="49" t="n"/>
    </row>
    <row r="19" outlineLevel="1" ht="58" customFormat="1" customHeight="1" s="36">
      <c r="A19" s="37">
        <f>A3&amp;"_"&amp;B19</f>
        <v/>
      </c>
      <c r="B19" s="42" t="n">
        <v>15</v>
      </c>
      <c r="C19" s="186" t="n"/>
      <c r="D19" s="186" t="n"/>
      <c r="E19" s="45" t="inlineStr">
        <is>
          <t xml:space="preserve">
• Parameter set
参数设置
</t>
        </is>
      </c>
      <c r="F19" s="53" t="inlineStr">
        <is>
          <t>not applicable</t>
        </is>
      </c>
      <c r="G19" s="55" t="n"/>
      <c r="H19" s="47" t="n"/>
      <c r="I19" s="47" t="n"/>
      <c r="J19" s="49" t="n"/>
      <c r="K19" s="49" t="n"/>
      <c r="L19" s="49" t="n"/>
      <c r="M19" s="49" t="n"/>
    </row>
    <row r="20" outlineLevel="1" ht="100.5" customFormat="1" customHeight="1" s="36">
      <c r="A20" s="37">
        <f>A3&amp;"_"&amp;B20</f>
        <v/>
      </c>
      <c r="B20" s="50" t="n">
        <v>16</v>
      </c>
      <c r="C20" s="187" t="inlineStr">
        <is>
          <t>Communication
between the two
functions</t>
        </is>
      </c>
      <c r="D20" s="184" t="inlineStr">
        <is>
          <t>Receiving function is affected by information that is false, lost, sent multiple times, or in the wrong order etc. from the sender</t>
        </is>
      </c>
      <c r="E20"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20" s="53" t="inlineStr">
        <is>
          <t>not applicable</t>
        </is>
      </c>
      <c r="G20" s="55" t="n"/>
      <c r="H20" s="47" t="n"/>
      <c r="I20" s="47" t="n"/>
      <c r="J20" s="49" t="n"/>
      <c r="K20" s="49" t="n"/>
      <c r="L20" s="49" t="n"/>
      <c r="M20" s="49" t="n"/>
    </row>
    <row r="21" outlineLevel="1" ht="72.5" customFormat="1" customHeight="1" s="36">
      <c r="A21" s="37">
        <f>A3&amp;"_"&amp;B21</f>
        <v/>
      </c>
      <c r="B21" s="42" t="n">
        <v>17</v>
      </c>
      <c r="C21" s="185" t="n"/>
      <c r="D21" s="185" t="n"/>
      <c r="E21" s="45" t="inlineStr">
        <is>
          <t>• Data or message corruption/ repetition*/ loss*/ delay*/ masquerading or incorrect addressing of information*
数据或信息的损坏/重复/丢失/延迟/伪装或信息的错误标识*</t>
        </is>
      </c>
      <c r="F21" s="53" t="inlineStr">
        <is>
          <t>not applicable</t>
        </is>
      </c>
      <c r="G21" s="55" t="n"/>
      <c r="H21" s="47" t="n"/>
      <c r="I21" s="47" t="n"/>
      <c r="J21" s="49" t="n"/>
      <c r="K21" s="49" t="n"/>
      <c r="L21" s="49" t="n"/>
      <c r="M21" s="49" t="n"/>
    </row>
    <row r="22" outlineLevel="1" ht="49" customFormat="1" customHeight="1" s="36">
      <c r="A22" s="37">
        <f>A3&amp;"_"&amp;B22</f>
        <v/>
      </c>
      <c r="B22" s="50" t="n">
        <v>18</v>
      </c>
      <c r="C22" s="185" t="n"/>
      <c r="D22" s="185" t="n"/>
      <c r="E22" s="45" t="inlineStr">
        <is>
          <t>• Insertion*/ sequence of information*
插入* / 信息序列*</t>
        </is>
      </c>
      <c r="F22" s="53" t="inlineStr">
        <is>
          <t>not applicable</t>
        </is>
      </c>
      <c r="G22" s="55" t="n"/>
      <c r="H22" s="47" t="n"/>
      <c r="I22" s="47" t="n"/>
      <c r="J22" s="49" t="n"/>
      <c r="K22" s="49" t="n"/>
      <c r="L22" s="49" t="n"/>
      <c r="M22" s="49" t="n"/>
    </row>
    <row r="23" outlineLevel="1" ht="48" customFormat="1" customHeight="1" s="36">
      <c r="A23" s="37">
        <f>A3&amp;"_"&amp;B23</f>
        <v/>
      </c>
      <c r="B23" s="42" t="n">
        <v>19</v>
      </c>
      <c r="C23" s="185" t="n"/>
      <c r="D23" s="185" t="n"/>
      <c r="E23" s="45" t="inlineStr">
        <is>
          <t>• Corruption of information*
信息的失真*</t>
        </is>
      </c>
      <c r="F23" s="53" t="inlineStr">
        <is>
          <t>not applicable</t>
        </is>
      </c>
      <c r="G23" s="55" t="n"/>
      <c r="H23" s="47" t="n"/>
      <c r="I23" s="47" t="n"/>
      <c r="J23" s="49" t="n"/>
      <c r="K23" s="49" t="n"/>
      <c r="L23" s="49" t="n"/>
      <c r="M23" s="49" t="n"/>
    </row>
    <row r="24" outlineLevel="1" ht="48" customFormat="1" customHeight="1" s="36">
      <c r="A24" s="37">
        <f>A3&amp;"_"&amp;B24</f>
        <v/>
      </c>
      <c r="B24" s="50" t="n">
        <v>20</v>
      </c>
      <c r="C24" s="185" t="n"/>
      <c r="D24" s="185" t="n"/>
      <c r="E24" s="45" t="inlineStr">
        <is>
          <t>• Asymmetric information sent from a sender to multiple receivers*
从发送者传向多个接收者的不对称信息*</t>
        </is>
      </c>
      <c r="F24" s="53" t="inlineStr">
        <is>
          <t>not applicable</t>
        </is>
      </c>
      <c r="G24" s="55" t="n"/>
      <c r="H24" s="47" t="n"/>
      <c r="I24" s="47" t="n"/>
      <c r="J24" s="49" t="n"/>
      <c r="K24" s="49" t="n"/>
      <c r="L24" s="49" t="n"/>
      <c r="M24" s="49" t="n"/>
    </row>
    <row r="25" outlineLevel="1" ht="48" customFormat="1" customHeight="1" s="36">
      <c r="A25" s="37">
        <f>A3&amp;"_"&amp;B25</f>
        <v/>
      </c>
      <c r="B25" s="42" t="n">
        <v>21</v>
      </c>
      <c r="C25" s="185" t="n"/>
      <c r="D25" s="185" t="n"/>
      <c r="E25" s="45" t="inlineStr">
        <is>
          <t>• Information from a sender received by only a subset of the receivers*
仅部分接收者接收到的来自发送者的信息*</t>
        </is>
      </c>
      <c r="F25" s="53" t="inlineStr">
        <is>
          <t>not applicable</t>
        </is>
      </c>
      <c r="G25" s="55" t="n"/>
      <c r="H25" s="47" t="n"/>
      <c r="I25" s="47" t="n"/>
      <c r="J25" s="49" t="n"/>
      <c r="K25" s="49" t="n"/>
      <c r="L25" s="49" t="n"/>
      <c r="M25" s="49" t="n"/>
    </row>
    <row r="26" outlineLevel="1" ht="43.5" customFormat="1" customHeight="1" s="36">
      <c r="A26" s="37">
        <f>A3&amp;"_"&amp;B26</f>
        <v/>
      </c>
      <c r="B26" s="50" t="n">
        <v>22</v>
      </c>
      <c r="C26" s="186" t="n"/>
      <c r="D26" s="186" t="n"/>
      <c r="E26" s="45" t="inlineStr">
        <is>
          <t>• Blocking access to a communication channel*
阻止对通信通道的访问*</t>
        </is>
      </c>
      <c r="F26" s="53" t="inlineStr">
        <is>
          <t>not applicable</t>
        </is>
      </c>
      <c r="G26" s="55" t="n"/>
      <c r="H26" s="47" t="n"/>
      <c r="I26" s="47" t="n"/>
      <c r="J26" s="49" t="n"/>
      <c r="K26" s="49" t="n"/>
      <c r="L26" s="49" t="n"/>
      <c r="M26" s="49" t="n"/>
    </row>
    <row r="27" outlineLevel="1" ht="45" customFormat="1" customHeight="1" s="36">
      <c r="A27" s="37">
        <f>A3&amp;"_"&amp;B27</f>
        <v/>
      </c>
      <c r="B27" s="42" t="n">
        <v>23</v>
      </c>
      <c r="C27" s="187" t="inlineStr">
        <is>
          <t>Shared information
inputs</t>
        </is>
      </c>
      <c r="D27" s="187" t="inlineStr">
        <is>
          <t>Same information consumed by the two functions even in absence of shared resources, i.e. from a functional perspective</t>
        </is>
      </c>
      <c r="E27" s="45" t="inlineStr">
        <is>
          <t>• Calibration parameters
标准参数</t>
        </is>
      </c>
      <c r="F27" s="53" t="inlineStr">
        <is>
          <t>not applicable</t>
        </is>
      </c>
      <c r="G27" s="55" t="n"/>
      <c r="H27" s="47" t="n"/>
      <c r="I27" s="47" t="n"/>
      <c r="J27" s="49" t="n"/>
      <c r="K27" s="49" t="n"/>
      <c r="L27" s="49" t="n"/>
      <c r="M27" s="49" t="n"/>
    </row>
    <row r="28" outlineLevel="1" ht="57" customFormat="1" customHeight="1" s="36">
      <c r="A28" s="37">
        <f>A3&amp;"_"&amp;B28</f>
        <v/>
      </c>
      <c r="B28" s="50" t="n">
        <v>24</v>
      </c>
      <c r="C28" s="185" t="n"/>
      <c r="D28" s="185" t="n"/>
      <c r="E28" s="45" t="inlineStr">
        <is>
          <t>• Constants, or variables, being global to the two software functions
常量或变量对于这两个软件功能而言是全局性的。</t>
        </is>
      </c>
      <c r="F28" s="53" t="inlineStr">
        <is>
          <t>not applicable</t>
        </is>
      </c>
      <c r="G28" s="55" t="n"/>
      <c r="H28" s="47" t="n"/>
      <c r="I28" s="47" t="n"/>
      <c r="J28" s="49" t="n"/>
      <c r="K28" s="49" t="n"/>
      <c r="L28" s="49" t="n"/>
      <c r="M28" s="49" t="n"/>
    </row>
    <row r="29" outlineLevel="1" ht="100" customFormat="1" customHeight="1" s="36">
      <c r="A29" s="37">
        <f>A3&amp;"_"&amp;B29</f>
        <v/>
      </c>
      <c r="B29" s="42" t="n">
        <v>25</v>
      </c>
      <c r="C29" s="185" t="n"/>
      <c r="D29" s="185" t="n"/>
      <c r="E29" s="45" t="inlineStr">
        <is>
          <t>• Basic software passes data (read from hardware register and converted into logical information) to two application software functions
基础软件会将数据（从硬件寄存器读取并转换为逻辑信息）传递给两个应用程序软件功能。</t>
        </is>
      </c>
      <c r="F29" s="53" t="inlineStr">
        <is>
          <t>not applicable</t>
        </is>
      </c>
      <c r="G29" s="55" t="n"/>
      <c r="H29" s="47" t="n"/>
      <c r="I29" s="47" t="n"/>
      <c r="J29" s="49" t="n"/>
      <c r="K29" s="49" t="n"/>
      <c r="L29" s="49" t="n"/>
      <c r="M29" s="49" t="n"/>
    </row>
    <row r="30" outlineLevel="1" ht="115.5" customFormat="1" customHeight="1" s="36">
      <c r="A30" s="37">
        <f>A3&amp;"_"&amp;B30</f>
        <v/>
      </c>
      <c r="B30" s="50" t="n">
        <v>26</v>
      </c>
      <c r="C30" s="186" t="n"/>
      <c r="D30" s="186" t="n"/>
      <c r="E30"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30" s="53" t="inlineStr">
        <is>
          <t>not applicable</t>
        </is>
      </c>
      <c r="G30" s="55" t="n"/>
      <c r="H30" s="47" t="n"/>
      <c r="I30" s="47" t="n"/>
      <c r="J30" s="49" t="n"/>
      <c r="K30" s="49" t="n"/>
      <c r="L30" s="49" t="n"/>
      <c r="M30" s="49" t="n"/>
    </row>
    <row r="31" outlineLevel="1" ht="68.5" customFormat="1" customHeight="1" s="36">
      <c r="A31" s="37">
        <f>A3&amp;"_"&amp;B31</f>
        <v/>
      </c>
      <c r="B31" s="42" t="n">
        <v>27</v>
      </c>
      <c r="C31" s="187" t="inlineStr">
        <is>
          <t>Environmental
influences</t>
        </is>
      </c>
      <c r="D31" s="184" t="inlineStr">
        <is>
          <t>Common external environmental disturbance affects both functions</t>
        </is>
      </c>
      <c r="E31" s="45" t="inlineStr">
        <is>
          <t xml:space="preserve">System-level: mechanical shock, water ingress
 系统层面：机械震动、进水                                                                                                                                                                </t>
        </is>
      </c>
      <c r="F31" s="53" t="inlineStr">
        <is>
          <t>not applicable</t>
        </is>
      </c>
      <c r="G31" s="55" t="n"/>
      <c r="H31" s="47" t="n"/>
      <c r="I31" s="47" t="n"/>
      <c r="J31" s="49" t="n"/>
      <c r="K31" s="49" t="n"/>
      <c r="L31" s="49" t="n"/>
      <c r="M31" s="49" t="n"/>
    </row>
    <row r="32" outlineLevel="1" ht="28.5" customFormat="1" customHeight="1" s="36">
      <c r="A32" s="37">
        <f>A3&amp;"_"&amp;B32</f>
        <v/>
      </c>
      <c r="B32" s="50" t="n">
        <v>28</v>
      </c>
      <c r="C32" s="185" t="n"/>
      <c r="D32" s="185" t="n"/>
      <c r="E32" s="45" t="inlineStr">
        <is>
          <t>Software-level: not applicable for Software
软件层面：不适用于软件</t>
        </is>
      </c>
      <c r="F32" s="53" t="inlineStr">
        <is>
          <t>not applicable</t>
        </is>
      </c>
      <c r="G32" s="55" t="n"/>
      <c r="H32" s="47" t="n"/>
      <c r="I32" s="47" t="n"/>
      <c r="J32" s="49" t="n"/>
      <c r="K32" s="49" t="n"/>
      <c r="L32" s="49" t="n"/>
      <c r="M32" s="49" t="n"/>
    </row>
    <row r="33" outlineLevel="1" ht="43" customFormat="1" customHeight="1" s="36">
      <c r="A33" s="37">
        <f>A3&amp;"_"&amp;B33</f>
        <v/>
      </c>
      <c r="B33" s="42" t="n">
        <v>29</v>
      </c>
      <c r="C33" s="186" t="n"/>
      <c r="D33" s="186" t="n"/>
      <c r="E33" s="45" t="inlineStr">
        <is>
          <t>Hardware-level: under and over voltage of the power supply        
硬件层面：电源的欠压和过压情况</t>
        </is>
      </c>
      <c r="F33" s="53" t="inlineStr">
        <is>
          <t>not applicable</t>
        </is>
      </c>
      <c r="G33" s="55" t="n"/>
      <c r="H33" s="47" t="n"/>
      <c r="I33" s="47" t="n"/>
      <c r="J33" s="49" t="n"/>
      <c r="K33" s="49" t="n"/>
      <c r="L33" s="49" t="n"/>
      <c r="M33" s="49" t="n"/>
    </row>
    <row r="34" outlineLevel="1" ht="72.5" customFormat="1" customHeight="1" s="36">
      <c r="A34" s="37">
        <f>A3&amp;"_"&amp;B34</f>
        <v/>
      </c>
      <c r="B34" s="50" t="n">
        <v>30</v>
      </c>
      <c r="C34" s="187" t="inlineStr">
        <is>
          <t>Unintended impact</t>
        </is>
      </c>
      <c r="D34" s="187" t="inlineStr">
        <is>
          <t>Two functions affecting each other’s elements directly via an implicit, that is unintended interface.</t>
        </is>
      </c>
      <c r="E34" s="45" t="inlineStr">
        <is>
          <t>• Memory / corruption of content*
– “wild pointers“ (including program counter stack)
内存/内容损坏*
——“失控指针”（包括程序计数器栈</t>
        </is>
      </c>
      <c r="F34" s="45" t="inlineStr">
        <is>
          <t xml:space="preserve">Yes </t>
        </is>
      </c>
      <c r="G34" s="46" t="inlineStr">
        <is>
          <t>系统时钟管理故障后无法输入给SPI， CAN ，ADC，WDG，GPIO， PWM，NVM时钟造成模块失效导致功能无法点亮，违背安全目标SG1,SG2.SG3</t>
        </is>
      </c>
      <c r="H34" s="47" t="inlineStr">
        <is>
          <t>1：支持硬线制动灯点亮：
2：支持停振检测，时钟异常时可以实时检测并尝试恢复
3：外部狗</t>
        </is>
      </c>
      <c r="I34" s="47" t="inlineStr">
        <is>
          <t>SW_DFA_SM_001
SW_DFA_SM_002 
SW_DFA_SM_004</t>
        </is>
      </c>
      <c r="J34" s="48" t="inlineStr">
        <is>
          <t>通过集成测试</t>
        </is>
      </c>
      <c r="K34" s="49" t="inlineStr">
        <is>
          <t>满足ASILB开发和测试</t>
        </is>
      </c>
      <c r="L34" s="49" t="n"/>
      <c r="M34" s="49" t="n"/>
    </row>
    <row r="35" outlineLevel="1" ht="70" customFormat="1" customHeight="1" s="36">
      <c r="A35" s="37">
        <f>A3&amp;"_"&amp;B35</f>
        <v/>
      </c>
      <c r="B35" s="42" t="n">
        <v>31</v>
      </c>
      <c r="C35" s="185" t="n"/>
      <c r="D35" s="185" t="n"/>
      <c r="E35" s="45" t="inlineStr">
        <is>
          <t>– memory mis-allocation
——内存分配错误</t>
        </is>
      </c>
      <c r="F35" s="45" t="inlineStr">
        <is>
          <t xml:space="preserve">Yes </t>
        </is>
      </c>
      <c r="G35" s="46" t="inlineStr">
        <is>
          <t>系统时钟管理故障后无法输入给SPI， CAN ，ADC，WDG，GPIO， PWM，NVM时钟造成模块失效导致功能无法点亮，违背安全目标SG1,SG2.SG3</t>
        </is>
      </c>
      <c r="H35" s="47" t="inlineStr">
        <is>
          <t>1：支持硬线制动灯点亮：
2：支持停振检测，时钟异常时可以实时检测并尝试恢复
3：外部狗</t>
        </is>
      </c>
      <c r="I35" s="47" t="inlineStr">
        <is>
          <t>SW_DFA_SM_001
SW_DFA_SM_002 
SW_DFA_SM_004</t>
        </is>
      </c>
      <c r="J35" s="48" t="inlineStr">
        <is>
          <t>通过集成测试</t>
        </is>
      </c>
      <c r="K35" s="49" t="inlineStr">
        <is>
          <t>满足ASILB开发和测试</t>
        </is>
      </c>
      <c r="L35" s="49" t="n"/>
      <c r="M35" s="49" t="n"/>
    </row>
    <row r="36" outlineLevel="1" ht="28.5" customFormat="1" customHeight="1" s="36">
      <c r="A36" s="37">
        <f>A3&amp;"_"&amp;B36</f>
        <v/>
      </c>
      <c r="B36" s="50" t="n">
        <v>32</v>
      </c>
      <c r="C36" s="185" t="n"/>
      <c r="D36" s="185" t="n"/>
      <c r="E36" s="45" t="inlineStr">
        <is>
          <t>– memory leaks
内存泄漏</t>
        </is>
      </c>
      <c r="F36" s="53" t="inlineStr">
        <is>
          <t>not applicable</t>
        </is>
      </c>
      <c r="G36" s="55" t="n"/>
      <c r="H36" s="47" t="n"/>
      <c r="I36" s="47" t="n"/>
      <c r="J36" s="49" t="n"/>
      <c r="K36" s="49" t="n"/>
      <c r="L36" s="49" t="n"/>
      <c r="M36" s="49" t="n"/>
    </row>
    <row r="37" outlineLevel="1" ht="58" customFormat="1" customHeight="1" s="36">
      <c r="A37" s="37">
        <f>A3&amp;"_"&amp;B37</f>
        <v/>
      </c>
      <c r="B37" s="42" t="n">
        <v>33</v>
      </c>
      <c r="C37" s="185" t="n"/>
      <c r="D37" s="185" t="n"/>
      <c r="E37" s="45" t="inlineStr">
        <is>
          <t>– read/write access to memory allocated to another software element*
—— 对分配给其他软件组件的内存的读/写访问权限*</t>
        </is>
      </c>
      <c r="F37" s="53" t="inlineStr">
        <is>
          <t>not applicable</t>
        </is>
      </c>
      <c r="G37" s="55" t="n"/>
      <c r="H37" s="47" t="n"/>
      <c r="I37" s="47" t="n"/>
      <c r="J37" s="49" t="n"/>
      <c r="K37" s="49" t="n"/>
      <c r="L37" s="49" t="n"/>
      <c r="M37" s="49" t="n"/>
    </row>
    <row r="38" outlineLevel="1" ht="29" customFormat="1" customHeight="1" s="36">
      <c r="A38" s="37">
        <f>A3&amp;"_"&amp;B38</f>
        <v/>
      </c>
      <c r="B38" s="50" t="n">
        <v>34</v>
      </c>
      <c r="C38" s="185" t="n"/>
      <c r="D38" s="185" t="n"/>
      <c r="E38" s="45" t="inlineStr">
        <is>
          <t>– buffer under-/overflow
– 缓冲区下溢/上溢</t>
        </is>
      </c>
      <c r="F38" s="53" t="inlineStr">
        <is>
          <t>not applicable</t>
        </is>
      </c>
      <c r="G38" s="55" t="n"/>
      <c r="H38" s="47" t="n"/>
      <c r="I38" s="47" t="n"/>
      <c r="J38" s="49" t="n"/>
      <c r="K38" s="49" t="n"/>
      <c r="L38" s="49" t="n"/>
      <c r="M38" s="49" t="n"/>
    </row>
    <row r="39" outlineLevel="1" ht="78" customFormat="1" customHeight="1" s="36">
      <c r="A39" s="37">
        <f>A3&amp;"_"&amp;B39</f>
        <v/>
      </c>
      <c r="B39" s="42" t="n">
        <v>35</v>
      </c>
      <c r="C39" s="185" t="n"/>
      <c r="D39" s="185" t="n"/>
      <c r="E39" s="45" t="inlineStr">
        <is>
          <t>• Timing and execution
– deadlocks*
时机与执行
——死锁*</t>
        </is>
      </c>
      <c r="F39" s="45" t="inlineStr">
        <is>
          <t xml:space="preserve">Yes </t>
        </is>
      </c>
      <c r="G39" s="46" t="inlineStr">
        <is>
          <t>系统时钟管理故障后无法输入给SPI， CAN ，ADC，WDG，GPIO， PWM，NVM时钟造成模块失效导致功能无法点亮，违背安全目标SG1,SG2.SG3</t>
        </is>
      </c>
      <c r="H39" s="47" t="inlineStr">
        <is>
          <t>1：支持硬线制动灯点亮：
2：支持停振检测，时钟异常时可以实时检测并尝试恢复</t>
        </is>
      </c>
      <c r="I39" s="47" t="inlineStr">
        <is>
          <t>SW_DFA_SM_001
SW_DFA_SM_002</t>
        </is>
      </c>
      <c r="J39" s="48" t="inlineStr">
        <is>
          <t>通过集成测试</t>
        </is>
      </c>
      <c r="K39" s="49" t="inlineStr">
        <is>
          <t>满足ASILB开发和测试</t>
        </is>
      </c>
      <c r="L39" s="49" t="n"/>
      <c r="M39" s="49" t="n"/>
    </row>
    <row r="40" outlineLevel="1" ht="28.5" customFormat="1" customHeight="1" s="36">
      <c r="A40" s="37">
        <f>A3&amp;"_"&amp;B40</f>
        <v/>
      </c>
      <c r="B40" s="50" t="n">
        <v>36</v>
      </c>
      <c r="C40" s="185" t="n"/>
      <c r="D40" s="185" t="n"/>
      <c r="E40" s="45" t="inlineStr">
        <is>
          <t>– livelocks*
活锁</t>
        </is>
      </c>
      <c r="F40" s="53" t="inlineStr">
        <is>
          <t>not applicable</t>
        </is>
      </c>
      <c r="G40" s="55" t="n"/>
      <c r="H40" s="47" t="n"/>
      <c r="I40" s="47" t="n"/>
      <c r="J40" s="49" t="n"/>
      <c r="K40" s="49" t="n"/>
      <c r="L40" s="49" t="n"/>
      <c r="M40" s="49" t="n"/>
    </row>
    <row r="41" outlineLevel="1" ht="29" customFormat="1" customHeight="1" s="36">
      <c r="A41" s="37">
        <f>A3&amp;"_"&amp;B41</f>
        <v/>
      </c>
      <c r="B41" s="42" t="n">
        <v>37</v>
      </c>
      <c r="C41" s="185" t="n"/>
      <c r="D41" s="185" t="n"/>
      <c r="E41" s="45" t="inlineStr">
        <is>
          <t>– incorrect allocation of execution time*
——执行时间分配不当*</t>
        </is>
      </c>
      <c r="F41" s="53" t="inlineStr">
        <is>
          <t>not applicable</t>
        </is>
      </c>
      <c r="G41" s="55" t="n"/>
      <c r="H41" s="47" t="n"/>
      <c r="I41" s="47" t="n"/>
      <c r="J41" s="49" t="n"/>
      <c r="K41" s="49" t="n"/>
      <c r="L41" s="49" t="n"/>
      <c r="M41" s="49" t="n"/>
    </row>
    <row r="42" outlineLevel="1" ht="42" customFormat="1" customHeight="1" s="36">
      <c r="A42" s="37">
        <f>A3&amp;"_"&amp;B42</f>
        <v/>
      </c>
      <c r="B42" s="50" t="n">
        <v>38</v>
      </c>
      <c r="C42" s="186" t="n"/>
      <c r="D42" s="186" t="n"/>
      <c r="E42" s="45" t="inlineStr">
        <is>
          <t>– incorrect synchronization between software elements*
——软件各组成部分之间的同步不正确*</t>
        </is>
      </c>
      <c r="F42" s="53" t="inlineStr">
        <is>
          <t>not applicable</t>
        </is>
      </c>
      <c r="G42" s="55" t="n"/>
      <c r="H42" s="47" t="n"/>
      <c r="I42" s="47" t="n"/>
      <c r="J42" s="49" t="n"/>
      <c r="K42" s="49" t="n"/>
      <c r="L42" s="49" t="n"/>
      <c r="M42" s="49" t="n"/>
    </row>
    <row r="43" outlineLevel="1" ht="72" customFormat="1" customHeight="1" s="36">
      <c r="A43" s="37">
        <f>A3&amp;"_"&amp;B43</f>
        <v/>
      </c>
      <c r="B43" s="42" t="n">
        <v>39</v>
      </c>
      <c r="C43" s="187" t="inlineStr">
        <is>
          <t>Systematic coupling</t>
        </is>
      </c>
      <c r="D43" s="187" t="inlineStr">
        <is>
          <t>Systematic causes from human or tool errors can lead to the simultaneous failure of more than one function</t>
        </is>
      </c>
      <c r="E43" s="45" t="inlineStr">
        <is>
          <t>• Manufacturing fault / repair fault (e.g. false flashing, false calibration reference for sensors)
制造故障/维修故障（例如：错误的闪烁现象、传感器的错误校准参考值）</t>
        </is>
      </c>
      <c r="F43" s="53" t="inlineStr">
        <is>
          <t>not applicable</t>
        </is>
      </c>
      <c r="G43" s="55" t="n"/>
      <c r="H43" s="47" t="n"/>
      <c r="I43" s="47" t="n"/>
      <c r="J43" s="49" t="n"/>
      <c r="K43" s="49" t="n"/>
      <c r="L43" s="49" t="n"/>
      <c r="M43" s="49" t="n"/>
    </row>
    <row r="44" outlineLevel="1" ht="115.5" customFormat="1" customHeight="1" s="36">
      <c r="A44" s="37">
        <f>A3&amp;"_"&amp;B44</f>
        <v/>
      </c>
      <c r="B44" s="50" t="n">
        <v>40</v>
      </c>
      <c r="C44" s="185" t="n"/>
      <c r="D44" s="185" t="n"/>
      <c r="E44" s="61" t="inlineStr">
        <is>
          <t xml:space="preserve">• Non-diverse development approaches including:
– same software tools (e.g. IDE, compiler, linker)
非多元化的发展方式包括：
——相同的软件工具（例如集成开发环境、编译器、链接器）
</t>
        </is>
      </c>
      <c r="F44" s="45" t="inlineStr">
        <is>
          <t xml:space="preserve">Yes </t>
        </is>
      </c>
      <c r="G44" s="62" t="inlineStr">
        <is>
          <t>代码异常导致的违背安全目标</t>
        </is>
      </c>
      <c r="H44" s="63" t="inlineStr">
        <is>
          <t>工具鉴定</t>
        </is>
      </c>
      <c r="I44" s="47" t="n"/>
      <c r="J44" s="49" t="inlineStr">
        <is>
          <t>通过集成测试</t>
        </is>
      </c>
      <c r="K44" s="49" t="inlineStr">
        <is>
          <t>满足ASILB开发和测试</t>
        </is>
      </c>
      <c r="L44" s="49" t="n"/>
      <c r="M44" s="49" t="n"/>
    </row>
    <row r="45" outlineLevel="1" ht="28.5" customFormat="1" customHeight="1" s="36">
      <c r="A45" s="37">
        <f>A3&amp;"_"&amp;B45</f>
        <v/>
      </c>
      <c r="B45" s="42" t="n">
        <v>41</v>
      </c>
      <c r="C45" s="185" t="n"/>
      <c r="D45" s="185" t="n"/>
      <c r="E45" s="61" t="inlineStr">
        <is>
          <t>– same algorithms
相同的算法</t>
        </is>
      </c>
      <c r="F45" s="53" t="inlineStr">
        <is>
          <t>not applicable</t>
        </is>
      </c>
      <c r="G45" s="55" t="n"/>
      <c r="H45" s="47" t="n"/>
      <c r="I45" s="47" t="n"/>
      <c r="J45" s="49" t="n"/>
      <c r="K45" s="49" t="n"/>
      <c r="L45" s="49" t="n"/>
      <c r="M45" s="49" t="n"/>
    </row>
    <row r="46" outlineLevel="1" ht="43.5" customFormat="1" customHeight="1" s="36">
      <c r="A46" s="37">
        <f>A3&amp;"_"&amp;B46</f>
        <v/>
      </c>
      <c r="B46" s="50" t="n">
        <v>42</v>
      </c>
      <c r="C46" s="185" t="n"/>
      <c r="D46" s="185" t="n"/>
      <c r="E46" s="61" t="inlineStr">
        <is>
          <t>– same programming and/or modelling language used
所使用的编程和/或建模语言相同</t>
        </is>
      </c>
      <c r="F46" s="45" t="inlineStr">
        <is>
          <t xml:space="preserve">Yes </t>
        </is>
      </c>
      <c r="G46" s="62" t="inlineStr">
        <is>
          <t>代码异常导致的违背安全目标</t>
        </is>
      </c>
      <c r="H46" s="63" t="inlineStr">
        <is>
          <t>工具鉴定</t>
        </is>
      </c>
      <c r="I46" s="47" t="n"/>
      <c r="J46" s="49" t="inlineStr">
        <is>
          <t>通过集成测试</t>
        </is>
      </c>
      <c r="K46" s="49" t="inlineStr">
        <is>
          <t>满足ASILB开发和测试</t>
        </is>
      </c>
      <c r="L46" s="49" t="n"/>
      <c r="M46" s="49" t="n"/>
    </row>
    <row r="47" outlineLevel="1" ht="29" customFormat="1" customHeight="1" s="36">
      <c r="A47" s="37">
        <f>A3&amp;"_"&amp;B47</f>
        <v/>
      </c>
      <c r="B47" s="42" t="n">
        <v>43</v>
      </c>
      <c r="C47" s="185" t="n"/>
      <c r="D47" s="185" t="n"/>
      <c r="E47" s="61" t="inlineStr">
        <is>
          <t>– same complier/linker used
使用的是相同的编译器/链接器</t>
        </is>
      </c>
      <c r="F47" s="45" t="inlineStr">
        <is>
          <t xml:space="preserve">Yes </t>
        </is>
      </c>
      <c r="G47" s="62" t="inlineStr">
        <is>
          <t>代码异常导致的违背安全目标</t>
        </is>
      </c>
      <c r="H47" s="63" t="inlineStr">
        <is>
          <t>工具鉴定</t>
        </is>
      </c>
      <c r="I47" s="47" t="n"/>
      <c r="J47" s="49" t="inlineStr">
        <is>
          <t>通过集成测试</t>
        </is>
      </c>
      <c r="K47" s="49" t="inlineStr">
        <is>
          <t>满足ASILB开发和测试</t>
        </is>
      </c>
      <c r="L47" s="49" t="n"/>
      <c r="M47" s="49" t="n"/>
    </row>
    <row r="48" outlineLevel="1" ht="28.5" customFormat="1" customHeight="1" s="36">
      <c r="A48" s="37">
        <f>A3&amp;"_"&amp;B48</f>
        <v/>
      </c>
      <c r="B48" s="50" t="n">
        <v>44</v>
      </c>
      <c r="C48" s="185" t="n"/>
      <c r="D48" s="185" t="n"/>
      <c r="E48" s="45" t="inlineStr">
        <is>
          <t>• Same personnel
相同人员</t>
        </is>
      </c>
      <c r="F48" s="53" t="inlineStr">
        <is>
          <t>not applicable</t>
        </is>
      </c>
      <c r="G48" s="55" t="n"/>
      <c r="H48" s="47" t="n"/>
      <c r="I48" s="47" t="n"/>
      <c r="J48" s="49" t="n"/>
      <c r="K48" s="49" t="n"/>
      <c r="L48" s="49" t="n"/>
      <c r="M48" s="49" t="n"/>
    </row>
    <row r="49" outlineLevel="1" ht="57" customFormat="1" customHeight="1" s="36">
      <c r="A49" s="37">
        <f>A3&amp;"_"&amp;B49</f>
        <v/>
      </c>
      <c r="B49" s="42" t="n">
        <v>45</v>
      </c>
      <c r="C49" s="185" t="n"/>
      <c r="D49" s="185" t="n"/>
      <c r="E49" s="45" t="inlineStr">
        <is>
          <t>• Same social-cultural context (even if different personnel)
相同的社会文化背景（即便人员有所不同）</t>
        </is>
      </c>
      <c r="F49" s="53" t="inlineStr">
        <is>
          <t>not applicable</t>
        </is>
      </c>
      <c r="G49" s="55" t="n"/>
      <c r="H49" s="47" t="n"/>
      <c r="I49" s="47" t="n"/>
      <c r="J49" s="49" t="n"/>
      <c r="K49" s="49" t="n"/>
      <c r="L49" s="49" t="n"/>
      <c r="M49" s="49" t="n"/>
    </row>
    <row r="50" outlineLevel="1" ht="57.5" customFormat="1" customHeight="1" s="36">
      <c r="A50" s="37">
        <f>A3&amp;"_"&amp;B50</f>
        <v/>
      </c>
      <c r="B50" s="50" t="n">
        <v>46</v>
      </c>
      <c r="C50" s="185" t="n"/>
      <c r="D50" s="185" t="n"/>
      <c r="E50" s="45" t="inlineStr">
        <is>
          <t>• Development fault, e.g.
– human error
开发失误，例如：
– 人为错误</t>
        </is>
      </c>
      <c r="F50" s="53" t="inlineStr">
        <is>
          <t>not applicable</t>
        </is>
      </c>
      <c r="G50" s="55" t="n"/>
      <c r="H50" s="47" t="n"/>
      <c r="I50" s="47" t="n"/>
      <c r="J50" s="49" t="n"/>
      <c r="K50" s="49" t="n"/>
      <c r="L50" s="49" t="n"/>
      <c r="M50" s="49" t="n"/>
    </row>
    <row r="51" outlineLevel="1" ht="28.5" customFormat="1" customHeight="1" s="36">
      <c r="A51" s="37">
        <f>A3&amp;"_"&amp;B51</f>
        <v/>
      </c>
      <c r="B51" s="42" t="n">
        <v>47</v>
      </c>
      <c r="C51" s="185" t="n"/>
      <c r="D51" s="185" t="n"/>
      <c r="E51" s="45" t="inlineStr">
        <is>
          <t>– insufficiently qualified personnel
资质不足的人员</t>
        </is>
      </c>
      <c r="F51" s="53" t="inlineStr">
        <is>
          <t>not applicable</t>
        </is>
      </c>
      <c r="G51" s="55" t="n"/>
      <c r="H51" s="47" t="n"/>
      <c r="I51" s="47" t="n"/>
      <c r="J51" s="49" t="n"/>
      <c r="K51" s="49" t="n"/>
      <c r="L51" s="49" t="n"/>
      <c r="M51" s="49" t="n"/>
    </row>
    <row r="52" outlineLevel="1" ht="28.5" customFormat="1" customHeight="1" s="36">
      <c r="A52" s="37">
        <f>A3&amp;"_"&amp;B52</f>
        <v/>
      </c>
      <c r="B52" s="50" t="n">
        <v>48</v>
      </c>
      <c r="C52" s="185" t="n"/>
      <c r="D52" s="185" t="n"/>
      <c r="E52" s="45" t="inlineStr">
        <is>
          <t>– process weaknesses
处理弱点</t>
        </is>
      </c>
      <c r="F52" s="53" t="inlineStr">
        <is>
          <t>not applicable</t>
        </is>
      </c>
      <c r="G52" s="55" t="n"/>
      <c r="H52" s="47" t="n"/>
      <c r="I52" s="47" t="n"/>
      <c r="J52" s="49" t="n"/>
      <c r="K52" s="49" t="n"/>
      <c r="L52" s="49" t="n"/>
      <c r="M52" s="49" t="n"/>
    </row>
    <row r="53" outlineLevel="1" ht="14.5" customFormat="1" customHeight="1" s="36">
      <c r="A53" s="37">
        <f>A3&amp;"_"&amp;B53</f>
        <v/>
      </c>
      <c r="B53" s="42" t="n">
        <v>49</v>
      </c>
      <c r="C53" s="186" t="n"/>
      <c r="D53" s="186" t="n"/>
      <c r="E53" s="45" t="inlineStr">
        <is>
          <t>– insufficient methods方法不足</t>
        </is>
      </c>
      <c r="F53" s="53" t="inlineStr">
        <is>
          <t>not applicable</t>
        </is>
      </c>
      <c r="G53" s="55" t="n"/>
      <c r="H53" s="47" t="n"/>
      <c r="I53" s="47" t="n"/>
      <c r="J53" s="49" t="n"/>
      <c r="K53" s="49" t="n"/>
      <c r="L53" s="49" t="n"/>
      <c r="M53" s="49" t="n"/>
    </row>
    <row r="54" outlineLevel="1" ht="14.5" customFormat="1" customHeight="1" s="36">
      <c r="A54" s="64" t="n"/>
      <c r="B54" s="64" t="n"/>
      <c r="C54" s="65" t="n"/>
      <c r="D54" s="65" t="n"/>
      <c r="E54" s="65" t="n"/>
      <c r="F54" s="66" t="n"/>
      <c r="G54" s="66" t="n"/>
      <c r="H54" s="64" t="n"/>
      <c r="I54" s="64" t="n"/>
    </row>
    <row r="56" ht="75" customFormat="1" customHeight="1" s="36">
      <c r="A56" s="67">
        <f>'[25]Top Event'!B5</f>
        <v/>
      </c>
      <c r="B56" s="67" t="n"/>
      <c r="C56" s="67">
        <f>'Top Event'!C5</f>
        <v/>
      </c>
      <c r="D56" s="67">
        <f>'Top Event'!D5</f>
        <v/>
      </c>
      <c r="E56" s="67">
        <f>'Top Event'!E5</f>
        <v/>
      </c>
      <c r="F56" s="66" t="n"/>
      <c r="G56" s="66" t="n"/>
      <c r="H56" s="64" t="n"/>
      <c r="I56" s="64" t="n"/>
      <c r="J56" s="36" t="n"/>
      <c r="K56" s="36" t="n"/>
      <c r="L56" s="36" t="n"/>
      <c r="M56" s="36" t="n"/>
    </row>
    <row r="57" ht="37.25" customFormat="1" customHeight="1" s="36">
      <c r="A57" s="37" t="n"/>
      <c r="B57" s="37" t="n"/>
      <c r="C57" s="38" t="inlineStr">
        <is>
          <t>DF-I Category</t>
        </is>
      </c>
      <c r="D57" s="38" t="inlineStr">
        <is>
          <t>Interpretation</t>
        </is>
      </c>
      <c r="E57" s="38" t="inlineStr">
        <is>
          <t>DF-Initiator Examples</t>
        </is>
      </c>
      <c r="F57" s="38" t="inlineStr">
        <is>
          <t>Applicable?</t>
        </is>
      </c>
      <c r="G57" s="38" t="inlineStr">
        <is>
          <t>safety  goal related</t>
        </is>
      </c>
      <c r="H57" s="39" t="inlineStr">
        <is>
          <t>Counter Measure</t>
        </is>
      </c>
      <c r="I57" s="39" t="inlineStr">
        <is>
          <t>Counter Measure ID</t>
        </is>
      </c>
      <c r="J57" s="38" t="inlineStr">
        <is>
          <t>Evidence</t>
        </is>
      </c>
      <c r="K57" s="38" t="inlineStr">
        <is>
          <t>sufficient?</t>
        </is>
      </c>
      <c r="L57" s="38" t="n"/>
      <c r="M57" s="41" t="inlineStr">
        <is>
          <t>Comment</t>
        </is>
      </c>
    </row>
    <row r="58" outlineLevel="1" ht="86" customFormat="1" customHeight="1" s="36">
      <c r="A58" s="37">
        <f>A56&amp;"_"&amp;B58</f>
        <v/>
      </c>
      <c r="B58" s="42" t="n">
        <v>1</v>
      </c>
      <c r="C58" s="183" t="inlineStr">
        <is>
          <t>Shared resource</t>
        </is>
      </c>
      <c r="D58" s="184" t="inlineStr">
        <is>
          <t>The same software, hardware, or system element instance used by the two elements which are therefore affected by the failure or unavailability of that shared resource, i.e. from a physical perspective.</t>
        </is>
      </c>
      <c r="E58" s="45" t="inlineStr">
        <is>
          <t>Software component used by more than one other software component, e.g.
– reused standard software modules
被多个其他软件组件所使用的软件组件，例如：
– 重复使用的标准软件模块</t>
        </is>
      </c>
      <c r="F58" s="45" t="inlineStr">
        <is>
          <t xml:space="preserve">Yes </t>
        </is>
      </c>
      <c r="G58" s="46" t="inlineStr">
        <is>
          <t>CAN模块失效后，违背安全目标SG1,SG2.SG3</t>
        </is>
      </c>
      <c r="H58" s="47" t="inlineStr">
        <is>
          <t>1：支持硬线制动灯点亮：
2：支持通信丢失检测当制动灯信号超时后点亮制动灯</t>
        </is>
      </c>
      <c r="I58" s="47" t="inlineStr">
        <is>
          <t>SW_DFA_SM_001
SW_DFA_SM_003</t>
        </is>
      </c>
      <c r="J58" s="48" t="inlineStr">
        <is>
          <t>通过集成测试</t>
        </is>
      </c>
      <c r="K58" s="49" t="inlineStr">
        <is>
          <t>满足ASILB开发和测试</t>
        </is>
      </c>
      <c r="L58" s="49" t="n"/>
      <c r="M58" s="49" t="n"/>
    </row>
    <row r="59" outlineLevel="1" ht="28.5" customFormat="1" customHeight="1" s="36">
      <c r="A59" s="37">
        <f>A56&amp;"_"&amp;B59</f>
        <v/>
      </c>
      <c r="B59" s="50" t="n">
        <v>2</v>
      </c>
      <c r="C59" s="185" t="n"/>
      <c r="D59" s="185" t="n"/>
      <c r="E59" s="45" t="inlineStr">
        <is>
          <t>– libraries
库</t>
        </is>
      </c>
      <c r="F59" s="53" t="inlineStr">
        <is>
          <t>not applicable</t>
        </is>
      </c>
      <c r="G59" s="55" t="n"/>
      <c r="H59" s="47" t="n"/>
      <c r="I59" s="47" t="n"/>
      <c r="J59" s="49" t="n"/>
      <c r="K59" s="49" t="n"/>
      <c r="L59" s="49" t="n"/>
      <c r="M59" s="49" t="n"/>
    </row>
    <row r="60" outlineLevel="1" ht="28.5" customFormat="1" customHeight="1" s="36">
      <c r="A60" s="37">
        <f>A56&amp;"_"&amp;B60</f>
        <v/>
      </c>
      <c r="B60" s="42" t="n">
        <v>3</v>
      </c>
      <c r="C60" s="185" t="n"/>
      <c r="D60" s="185" t="n"/>
      <c r="E60" s="45" t="inlineStr">
        <is>
          <t>– middleware
中间件</t>
        </is>
      </c>
      <c r="F60" s="53" t="inlineStr">
        <is>
          <t>not applicable</t>
        </is>
      </c>
      <c r="G60" s="55" t="n"/>
      <c r="H60" s="47" t="n"/>
      <c r="I60" s="47" t="n"/>
      <c r="J60" s="49" t="n"/>
      <c r="K60" s="49" t="n"/>
      <c r="L60" s="49" t="n"/>
      <c r="M60" s="49" t="n"/>
    </row>
    <row r="61" outlineLevel="1" ht="78" customFormat="1" customHeight="1" s="36">
      <c r="A61" s="37">
        <f>A56&amp;"_"&amp;B61</f>
        <v/>
      </c>
      <c r="B61" s="50" t="n">
        <v>4</v>
      </c>
      <c r="C61" s="185" t="n"/>
      <c r="D61" s="185" t="n"/>
      <c r="E61" s="45" t="inlineStr">
        <is>
          <t>– basic software
基本软件</t>
        </is>
      </c>
      <c r="F61" s="45" t="inlineStr">
        <is>
          <t xml:space="preserve">Yes </t>
        </is>
      </c>
      <c r="G61" s="46" t="inlineStr">
        <is>
          <t>CAN模块失效后，违背安全目标SG1,SG2.SG3</t>
        </is>
      </c>
      <c r="H61" s="47" t="inlineStr">
        <is>
          <t>1：支持硬线制动灯点亮：
2：支持通信丢失检测当制动灯信号超时后点亮制动灯</t>
        </is>
      </c>
      <c r="I61" s="47" t="inlineStr">
        <is>
          <t>SW_DFA_SM_001
SW_DFA_SM_003</t>
        </is>
      </c>
      <c r="J61" s="48" t="inlineStr">
        <is>
          <t>通过集成测试</t>
        </is>
      </c>
      <c r="K61" s="49" t="inlineStr">
        <is>
          <t>满足ASILB开发和测试</t>
        </is>
      </c>
      <c r="L61" s="49" t="n"/>
      <c r="M61" s="49" t="n"/>
    </row>
    <row r="62" outlineLevel="1" ht="43.5" customFormat="1" customHeight="1" s="36">
      <c r="A62" s="37">
        <f>A56&amp;"_"&amp;B62</f>
        <v/>
      </c>
      <c r="B62" s="42" t="n">
        <v>5</v>
      </c>
      <c r="C62" s="185" t="n"/>
      <c r="D62" s="185" t="n"/>
      <c r="E62" s="45" t="inlineStr">
        <is>
          <t xml:space="preserve">– operating system including scheduler
——包含调度器的操作系统
</t>
        </is>
      </c>
      <c r="F62" s="53" t="inlineStr">
        <is>
          <t>not applicable</t>
        </is>
      </c>
      <c r="G62" s="55" t="n"/>
      <c r="H62" s="47" t="n"/>
      <c r="I62" s="47" t="n"/>
      <c r="J62" s="49" t="n"/>
      <c r="K62" s="49" t="n"/>
      <c r="L62" s="49" t="n"/>
      <c r="M62" s="49" t="n"/>
    </row>
    <row r="63" outlineLevel="1" ht="78" customFormat="1" customHeight="1" s="36">
      <c r="A63" s="37">
        <f>A56&amp;"_"&amp;B63</f>
        <v/>
      </c>
      <c r="B63" s="50" t="n">
        <v>6</v>
      </c>
      <c r="C63" s="185" t="n"/>
      <c r="D63" s="185" t="n"/>
      <c r="E63" s="45" t="inlineStr">
        <is>
          <t>– communication stack
通信协议栈</t>
        </is>
      </c>
      <c r="F63" s="45" t="inlineStr">
        <is>
          <t xml:space="preserve">Yes </t>
        </is>
      </c>
      <c r="G63" s="46" t="inlineStr">
        <is>
          <t>CAN模块失效后，违背安全目标SG1,SG2.SG3</t>
        </is>
      </c>
      <c r="H63" s="47" t="inlineStr">
        <is>
          <t>1：支持硬线制动灯点亮：
2：支持通信丢失检测当制动灯信号超时后点亮制动灯</t>
        </is>
      </c>
      <c r="I63" s="47" t="inlineStr">
        <is>
          <t>SW_DFA_SM_001
SW_DFA_SM_003</t>
        </is>
      </c>
      <c r="J63" s="48" t="inlineStr">
        <is>
          <t>通过集成测试</t>
        </is>
      </c>
      <c r="K63" s="49" t="inlineStr">
        <is>
          <t>满足ASILB开发和测试</t>
        </is>
      </c>
      <c r="L63" s="49" t="n"/>
      <c r="M63" s="49" t="n"/>
    </row>
    <row r="64" outlineLevel="1" ht="29" customFormat="1" customHeight="1" s="36">
      <c r="A64" s="37">
        <f>A56&amp;"_"&amp;B64</f>
        <v/>
      </c>
      <c r="B64" s="42" t="n">
        <v>7</v>
      </c>
      <c r="C64" s="185" t="n"/>
      <c r="D64" s="185" t="n"/>
      <c r="E64" s="45" t="inlineStr">
        <is>
          <t xml:space="preserve">– parameter file参数文件
</t>
        </is>
      </c>
      <c r="F64" s="53" t="inlineStr">
        <is>
          <t>not applicable</t>
        </is>
      </c>
      <c r="G64" s="55" t="n"/>
      <c r="H64" s="47" t="n"/>
      <c r="I64" s="47" t="n"/>
      <c r="J64" s="49" t="n"/>
      <c r="K64" s="49" t="n"/>
      <c r="L64" s="49" t="n"/>
      <c r="M64" s="49" t="n"/>
    </row>
    <row r="65" outlineLevel="1" ht="28.5" customFormat="1" customHeight="1" s="36">
      <c r="A65" s="37">
        <f>A56&amp;"_"&amp;B65</f>
        <v/>
      </c>
      <c r="B65" s="50" t="n">
        <v>8</v>
      </c>
      <c r="C65" s="185" t="n"/>
      <c r="D65" s="185" t="n"/>
      <c r="E65" s="45" t="inlineStr">
        <is>
          <t>– execution time
执行时间</t>
        </is>
      </c>
      <c r="F65" s="53" t="inlineStr">
        <is>
          <t>not applicable</t>
        </is>
      </c>
      <c r="G65" s="55" t="n"/>
      <c r="H65" s="47" t="n"/>
      <c r="I65" s="47" t="n"/>
      <c r="J65" s="49" t="n"/>
      <c r="K65" s="49" t="n"/>
      <c r="L65" s="49" t="n"/>
      <c r="M65" s="49" t="n"/>
    </row>
    <row r="66" outlineLevel="1" ht="14.5" customFormat="1" customHeight="1" s="36">
      <c r="A66" s="37">
        <f>A56&amp;"_"&amp;B66</f>
        <v/>
      </c>
      <c r="B66" s="42" t="n">
        <v>9</v>
      </c>
      <c r="C66" s="186" t="n"/>
      <c r="D66" s="186" t="n"/>
      <c r="E66" s="45" t="inlineStr">
        <is>
          <t>– allocated memory</t>
        </is>
      </c>
      <c r="F66" s="53" t="inlineStr">
        <is>
          <t>not applicable</t>
        </is>
      </c>
      <c r="G66" s="55" t="n"/>
      <c r="H66" s="47" t="n"/>
      <c r="I66" s="47" t="n"/>
      <c r="J66" s="49" t="n"/>
      <c r="K66" s="49" t="n"/>
      <c r="L66" s="49" t="n"/>
      <c r="M66" s="49" t="n"/>
    </row>
    <row r="67" outlineLevel="1" ht="28.5" customFormat="1" customHeight="1" s="36">
      <c r="A67" s="37">
        <f>A56&amp;"_"&amp;B67</f>
        <v/>
      </c>
      <c r="B67" s="50" t="n">
        <v>10</v>
      </c>
      <c r="C67" s="187" t="inlineStr">
        <is>
          <t>Components of
identical type</t>
        </is>
      </c>
      <c r="D67" s="187" t="inlineStr">
        <is>
          <t>Identical components may fail with higher probability simultaneously (common mode failures)</t>
        </is>
      </c>
      <c r="E67" s="45" t="inlineStr">
        <is>
          <t>• Reused standard software modules
重复使用的标准软件模块</t>
        </is>
      </c>
      <c r="F67" s="53" t="inlineStr">
        <is>
          <t>not applicable</t>
        </is>
      </c>
      <c r="G67" s="46" t="n"/>
      <c r="H67" s="47" t="n"/>
      <c r="I67" s="47" t="n"/>
      <c r="J67" s="48" t="n"/>
      <c r="K67" s="49" t="n"/>
      <c r="L67" s="49" t="n"/>
      <c r="M67" s="49" t="n"/>
    </row>
    <row r="68" outlineLevel="1" ht="78" customFormat="1" customHeight="1" s="36">
      <c r="A68" s="37">
        <f>A56&amp;"_"&amp;B68</f>
        <v/>
      </c>
      <c r="B68" s="42" t="n">
        <v>11</v>
      </c>
      <c r="C68" s="185" t="n"/>
      <c r="D68" s="185" t="n"/>
      <c r="E68" s="45" t="inlineStr">
        <is>
          <t>• Standard library components
标准库组件</t>
        </is>
      </c>
      <c r="F68" s="45" t="inlineStr">
        <is>
          <t xml:space="preserve">Yes </t>
        </is>
      </c>
      <c r="G68" s="46" t="inlineStr">
        <is>
          <t>CAN模块失效后，违背安全目标SG1,SG2.SG3</t>
        </is>
      </c>
      <c r="H68" s="47" t="inlineStr">
        <is>
          <t>1：支持硬线制动灯点亮：
2：支持通信丢失检测当制动灯信号超时后点亮制动灯</t>
        </is>
      </c>
      <c r="I68" s="47" t="inlineStr">
        <is>
          <t>SW_DFA_SM_001
SW_DFA_SM_003</t>
        </is>
      </c>
      <c r="J68" s="48" t="inlineStr">
        <is>
          <t>通过集成测试</t>
        </is>
      </c>
      <c r="K68" s="49" t="inlineStr">
        <is>
          <t>满足ASILB开发和测试</t>
        </is>
      </c>
      <c r="L68" s="49" t="n"/>
      <c r="M68" s="49" t="n"/>
    </row>
    <row r="69" outlineLevel="1" ht="28.5" customFormat="1" customHeight="1" s="36">
      <c r="A69" s="37">
        <f>A56&amp;"_"&amp;B69</f>
        <v/>
      </c>
      <c r="B69" s="50" t="n">
        <v>12</v>
      </c>
      <c r="C69" s="185" t="n"/>
      <c r="D69" s="185" t="n"/>
      <c r="E69" s="45" t="inlineStr">
        <is>
          <t>• Middleware
中间件</t>
        </is>
      </c>
      <c r="F69" s="53" t="inlineStr">
        <is>
          <t>not applicable</t>
        </is>
      </c>
      <c r="G69" s="55" t="n"/>
      <c r="H69" s="47" t="n"/>
      <c r="I69" s="47" t="n"/>
      <c r="J69" s="49" t="n"/>
      <c r="K69" s="49" t="n"/>
      <c r="L69" s="49" t="n"/>
      <c r="M69" s="49" t="n"/>
    </row>
    <row r="70" outlineLevel="1" ht="28.5" customFormat="1" customHeight="1" s="36">
      <c r="A70" s="37">
        <f>A56&amp;"_"&amp;B70</f>
        <v/>
      </c>
      <c r="B70" s="42" t="n">
        <v>13</v>
      </c>
      <c r="C70" s="185" t="n"/>
      <c r="D70" s="185" t="n"/>
      <c r="E70" s="45" t="inlineStr">
        <is>
          <t>• Operating system
操作系统</t>
        </is>
      </c>
      <c r="F70" s="53" t="inlineStr">
        <is>
          <t>not applicable</t>
        </is>
      </c>
      <c r="G70" s="55" t="n"/>
      <c r="H70" s="47" t="n"/>
      <c r="I70" s="47" t="n"/>
      <c r="J70" s="49" t="n"/>
      <c r="K70" s="49" t="n"/>
      <c r="L70" s="49" t="n"/>
      <c r="M70" s="49" t="n"/>
    </row>
    <row r="71" outlineLevel="1" ht="117" customFormat="1" customHeight="1" s="36">
      <c r="A71" s="37">
        <f>A56&amp;"_"&amp;B71</f>
        <v/>
      </c>
      <c r="B71" s="50" t="n">
        <v>14</v>
      </c>
      <c r="C71" s="185" t="n"/>
      <c r="D71" s="185" t="n"/>
      <c r="E71" s="45" t="inlineStr">
        <is>
          <t>• Communication stack
通信栈</t>
        </is>
      </c>
      <c r="F71" s="45" t="inlineStr">
        <is>
          <t xml:space="preserve">Yes </t>
        </is>
      </c>
      <c r="G71" s="46" t="inlineStr">
        <is>
          <t>CAN模块失效后，违背安全目标SG1,SG2.SG3</t>
        </is>
      </c>
      <c r="H71" s="47" t="inlineStr">
        <is>
          <t>1：支持硬线制动灯点亮：
2：支持通信丢失检测当制动灯信号超时后点亮制动灯
3：can bus off后会尝试故障恢复</t>
        </is>
      </c>
      <c r="I71" s="47" t="inlineStr">
        <is>
          <t>SW_DFA_SM_001
SW_DFA_SM_003 
SW_DFA_SM_004</t>
        </is>
      </c>
      <c r="J71" s="48" t="inlineStr">
        <is>
          <t>通过集成测试</t>
        </is>
      </c>
      <c r="K71" s="49" t="inlineStr">
        <is>
          <t>满足ASILB开发和测试</t>
        </is>
      </c>
      <c r="L71" s="49" t="n"/>
      <c r="M71" s="49" t="n"/>
    </row>
    <row r="72" outlineLevel="1" ht="117" customFormat="1" customHeight="1" s="36">
      <c r="A72" s="37">
        <f>A56&amp;"_"&amp;B72</f>
        <v/>
      </c>
      <c r="B72" s="42" t="n">
        <v>15</v>
      </c>
      <c r="C72" s="186" t="n"/>
      <c r="D72" s="186" t="n"/>
      <c r="E72" s="45" t="inlineStr">
        <is>
          <t xml:space="preserve">
• Parameter set
参数设置
</t>
        </is>
      </c>
      <c r="F72" s="45" t="inlineStr">
        <is>
          <t xml:space="preserve">Yes </t>
        </is>
      </c>
      <c r="G72" s="46" t="inlineStr">
        <is>
          <t>CAN模块失效后，违背安全目标SG1,SG2.SG3</t>
        </is>
      </c>
      <c r="H72" s="47" t="inlineStr">
        <is>
          <t>1：支持硬线制动灯点亮：
2：支持通信丢失检测当制动灯信号超时后点亮制动灯
3：can bus off后会尝试故障恢复</t>
        </is>
      </c>
      <c r="I72" s="47" t="inlineStr">
        <is>
          <t>SW_DFA_SM_001
SW_DFA_SM_003 
SW_DFA_SM_004</t>
        </is>
      </c>
      <c r="J72" s="48" t="inlineStr">
        <is>
          <t>通过集成测试</t>
        </is>
      </c>
      <c r="K72" s="49" t="inlineStr">
        <is>
          <t>满足ASILB开发和测试</t>
        </is>
      </c>
      <c r="L72" s="49" t="n"/>
      <c r="M72" s="49" t="n"/>
    </row>
    <row r="73" outlineLevel="1" ht="100.5" customFormat="1" customHeight="1" s="36">
      <c r="A73" s="37">
        <f>A56&amp;"_"&amp;B73</f>
        <v/>
      </c>
      <c r="B73" s="50" t="n">
        <v>16</v>
      </c>
      <c r="C73" s="187" t="inlineStr">
        <is>
          <t>Communication
between the two
functions</t>
        </is>
      </c>
      <c r="D73" s="184" t="inlineStr">
        <is>
          <t>Receiving function is affected by information that is false, lost, sent multiple times, or in the wrong order etc. from the sender</t>
        </is>
      </c>
      <c r="E73"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73" s="53" t="inlineStr">
        <is>
          <t>not applicable</t>
        </is>
      </c>
      <c r="G73" s="55" t="n"/>
      <c r="H73" s="47" t="n"/>
      <c r="I73" s="47" t="n"/>
      <c r="J73" s="49" t="n"/>
      <c r="K73" s="49" t="n"/>
      <c r="L73" s="49" t="n"/>
      <c r="M73" s="49" t="n"/>
    </row>
    <row r="74" outlineLevel="1" ht="72.5" customFormat="1" customHeight="1" s="36">
      <c r="A74" s="37">
        <f>A56&amp;"_"&amp;B74</f>
        <v/>
      </c>
      <c r="B74" s="42" t="n">
        <v>17</v>
      </c>
      <c r="C74" s="185" t="n"/>
      <c r="D74" s="185" t="n"/>
      <c r="E74" s="45" t="inlineStr">
        <is>
          <t>• Data or message corruption/ repetition*/ loss*/ delay*/ masquerading or incorrect addressing of information*
数据或信息的损坏/重复/丢失/延迟/伪装或信息的错误标识*</t>
        </is>
      </c>
      <c r="F74" s="53" t="inlineStr">
        <is>
          <t>not applicable</t>
        </is>
      </c>
      <c r="G74" s="55" t="n"/>
      <c r="H74" s="47" t="n"/>
      <c r="I74" s="47" t="n"/>
      <c r="J74" s="49" t="n"/>
      <c r="K74" s="49" t="n"/>
      <c r="L74" s="49" t="n"/>
      <c r="M74" s="49" t="n"/>
    </row>
    <row r="75" outlineLevel="1" ht="49" customFormat="1" customHeight="1" s="36">
      <c r="A75" s="37">
        <f>A56&amp;"_"&amp;B75</f>
        <v/>
      </c>
      <c r="B75" s="50" t="n">
        <v>18</v>
      </c>
      <c r="C75" s="185" t="n"/>
      <c r="D75" s="185" t="n"/>
      <c r="E75" s="45" t="inlineStr">
        <is>
          <t>• Insertion*/ sequence of information*
插入* / 信息序列*</t>
        </is>
      </c>
      <c r="F75" s="53" t="inlineStr">
        <is>
          <t>not applicable</t>
        </is>
      </c>
      <c r="G75" s="55" t="n"/>
      <c r="H75" s="47" t="n"/>
      <c r="I75" s="47" t="n"/>
      <c r="J75" s="49" t="n"/>
      <c r="K75" s="49" t="n"/>
      <c r="L75" s="49" t="n"/>
      <c r="M75" s="49" t="n"/>
    </row>
    <row r="76" outlineLevel="1" ht="48" customFormat="1" customHeight="1" s="36">
      <c r="A76" s="37">
        <f>A56&amp;"_"&amp;B76</f>
        <v/>
      </c>
      <c r="B76" s="42" t="n">
        <v>19</v>
      </c>
      <c r="C76" s="185" t="n"/>
      <c r="D76" s="185" t="n"/>
      <c r="E76" s="45" t="inlineStr">
        <is>
          <t>• Corruption of information*
信息的失真*</t>
        </is>
      </c>
      <c r="F76" s="53" t="inlineStr">
        <is>
          <t>not applicable</t>
        </is>
      </c>
      <c r="G76" s="55" t="n"/>
      <c r="H76" s="47" t="n"/>
      <c r="I76" s="47" t="n"/>
      <c r="J76" s="49" t="n"/>
      <c r="K76" s="49" t="n"/>
      <c r="L76" s="49" t="n"/>
      <c r="M76" s="49" t="n"/>
    </row>
    <row r="77" outlineLevel="1" ht="48" customFormat="1" customHeight="1" s="36">
      <c r="A77" s="37">
        <f>A56&amp;"_"&amp;B77</f>
        <v/>
      </c>
      <c r="B77" s="50" t="n">
        <v>20</v>
      </c>
      <c r="C77" s="185" t="n"/>
      <c r="D77" s="185" t="n"/>
      <c r="E77" s="45" t="inlineStr">
        <is>
          <t>• Asymmetric information sent from a sender to multiple receivers*
从发送者传向多个接收者的不对称信息*</t>
        </is>
      </c>
      <c r="F77" s="53" t="inlineStr">
        <is>
          <t>not applicable</t>
        </is>
      </c>
      <c r="G77" s="55" t="n"/>
      <c r="H77" s="47" t="n"/>
      <c r="I77" s="47" t="n"/>
      <c r="J77" s="49" t="n"/>
      <c r="K77" s="49" t="n"/>
      <c r="L77" s="49" t="n"/>
      <c r="M77" s="49" t="n"/>
    </row>
    <row r="78" outlineLevel="1" ht="48" customFormat="1" customHeight="1" s="36">
      <c r="A78" s="37">
        <f>A56&amp;"_"&amp;B78</f>
        <v/>
      </c>
      <c r="B78" s="42" t="n">
        <v>21</v>
      </c>
      <c r="C78" s="185" t="n"/>
      <c r="D78" s="185" t="n"/>
      <c r="E78" s="45" t="inlineStr">
        <is>
          <t>• Information from a sender received by only a subset of the receivers*
仅部分接收者接收到的来自发送者的信息*</t>
        </is>
      </c>
      <c r="F78" s="53" t="inlineStr">
        <is>
          <t>not applicable</t>
        </is>
      </c>
      <c r="G78" s="55" t="n"/>
      <c r="H78" s="47" t="n"/>
      <c r="I78" s="47" t="n"/>
      <c r="J78" s="49" t="n"/>
      <c r="K78" s="49" t="n"/>
      <c r="L78" s="49" t="n"/>
      <c r="M78" s="49" t="n"/>
    </row>
    <row r="79" outlineLevel="1" ht="117" customFormat="1" customHeight="1" s="36">
      <c r="A79" s="37">
        <f>A56&amp;"_"&amp;B79</f>
        <v/>
      </c>
      <c r="B79" s="50" t="n">
        <v>22</v>
      </c>
      <c r="C79" s="186" t="n"/>
      <c r="D79" s="186" t="n"/>
      <c r="E79" s="45" t="inlineStr">
        <is>
          <t>• Blocking access to a communication channel*
阻止对通信通道的访问*</t>
        </is>
      </c>
      <c r="F79" s="45" t="inlineStr">
        <is>
          <t xml:space="preserve">Yes </t>
        </is>
      </c>
      <c r="G79" s="46" t="inlineStr">
        <is>
          <t>CAN模块失效后，违背安全目标SG1,SG2.SG3</t>
        </is>
      </c>
      <c r="H79" s="47" t="inlineStr">
        <is>
          <t>1：支持硬线制动灯点亮：
2：支持通信丢失检测当制动灯信号超时后点亮制动灯
3：can bus off后会尝试故障恢复</t>
        </is>
      </c>
      <c r="I79" s="47" t="inlineStr">
        <is>
          <t>SW_DFA_SM_001
SW_DFA_SM_003 
SW_DFA_SM_004</t>
        </is>
      </c>
      <c r="J79" s="48" t="inlineStr">
        <is>
          <t>通过集成测试</t>
        </is>
      </c>
      <c r="K79" s="49" t="inlineStr">
        <is>
          <t>满足ASILB开发和测试</t>
        </is>
      </c>
      <c r="L79" s="49" t="n"/>
      <c r="M79" s="49" t="n"/>
    </row>
    <row r="80" outlineLevel="1" ht="45" customFormat="1" customHeight="1" s="36">
      <c r="A80" s="37">
        <f>A56&amp;"_"&amp;B80</f>
        <v/>
      </c>
      <c r="B80" s="42" t="n">
        <v>23</v>
      </c>
      <c r="C80" s="187" t="inlineStr">
        <is>
          <t>Shared information
inputs</t>
        </is>
      </c>
      <c r="D80" s="187" t="inlineStr">
        <is>
          <t>Same information consumed by the two functions even in absence of shared resources, i.e. from a functional perspective</t>
        </is>
      </c>
      <c r="E80" s="45" t="inlineStr">
        <is>
          <t>• Calibration parameters
标准参数</t>
        </is>
      </c>
      <c r="F80" s="53" t="inlineStr">
        <is>
          <t>not applicable</t>
        </is>
      </c>
      <c r="G80" s="55" t="n"/>
      <c r="H80" s="47" t="n"/>
      <c r="I80" s="47" t="n"/>
      <c r="J80" s="49" t="n"/>
      <c r="K80" s="49" t="n"/>
      <c r="L80" s="49" t="n"/>
      <c r="M80" s="49" t="n"/>
    </row>
    <row r="81" outlineLevel="1" ht="57" customFormat="1" customHeight="1" s="36">
      <c r="A81" s="37">
        <f>A56&amp;"_"&amp;B81</f>
        <v/>
      </c>
      <c r="B81" s="50" t="n">
        <v>24</v>
      </c>
      <c r="C81" s="185" t="n"/>
      <c r="D81" s="185" t="n"/>
      <c r="E81" s="45" t="inlineStr">
        <is>
          <t>• Constants, or variables, being global to the two software functions
常量或变量对于这两个软件功能而言是全局性的。</t>
        </is>
      </c>
      <c r="F81" s="53" t="inlineStr">
        <is>
          <t>not applicable</t>
        </is>
      </c>
      <c r="G81" s="55" t="n"/>
      <c r="H81" s="47" t="n"/>
      <c r="I81" s="47" t="n"/>
      <c r="J81" s="49" t="n"/>
      <c r="K81" s="49" t="n"/>
      <c r="L81" s="49" t="n"/>
      <c r="M81" s="49" t="n"/>
    </row>
    <row r="82" outlineLevel="1" ht="117" customFormat="1" customHeight="1" s="36">
      <c r="A82" s="37">
        <f>A56&amp;"_"&amp;B82</f>
        <v/>
      </c>
      <c r="B82" s="42" t="n">
        <v>25</v>
      </c>
      <c r="C82" s="185" t="n"/>
      <c r="D82" s="185" t="n"/>
      <c r="E82" s="45" t="inlineStr">
        <is>
          <t>• Basic software passes data (read from hardware register and converted into logical information) to two application software functions
基础软件会将数据（从硬件寄存器读取并转换为逻辑信息）传递给两个应用程序软件功能。</t>
        </is>
      </c>
      <c r="F82" s="45" t="inlineStr">
        <is>
          <t xml:space="preserve">Yes </t>
        </is>
      </c>
      <c r="G82" s="46" t="inlineStr">
        <is>
          <t>CAN模块失效后，违背安全目标SG1,SG2.SG3</t>
        </is>
      </c>
      <c r="H82" s="47" t="inlineStr">
        <is>
          <t>1：支持硬线制动灯点亮：
2：支持通信丢失检测当制动灯信号超时后点亮制动灯
3：can bus off后会尝试故障恢复</t>
        </is>
      </c>
      <c r="I82" s="47" t="inlineStr">
        <is>
          <t>SW_DFA_SM_001
SW_DFA_SM_003 
SW_DFA_SM_004</t>
        </is>
      </c>
      <c r="J82" s="48" t="inlineStr">
        <is>
          <t>通过集成测试</t>
        </is>
      </c>
      <c r="K82" s="49" t="inlineStr">
        <is>
          <t>满足ASILB开发和测试</t>
        </is>
      </c>
      <c r="L82" s="49" t="n"/>
      <c r="M82" s="49" t="n"/>
    </row>
    <row r="83" outlineLevel="1" ht="115.5" customFormat="1" customHeight="1" s="36">
      <c r="A83" s="37">
        <f>A56&amp;"_"&amp;B83</f>
        <v/>
      </c>
      <c r="B83" s="50" t="n">
        <v>26</v>
      </c>
      <c r="C83" s="186" t="n"/>
      <c r="D83" s="186" t="n"/>
      <c r="E83"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83" s="53" t="inlineStr">
        <is>
          <t>not applicable</t>
        </is>
      </c>
      <c r="G83" s="55" t="n"/>
      <c r="H83" s="47" t="n"/>
      <c r="I83" s="47" t="n"/>
      <c r="J83" s="49" t="n"/>
      <c r="K83" s="49" t="n"/>
      <c r="L83" s="49" t="n"/>
      <c r="M83" s="49" t="n"/>
    </row>
    <row r="84" outlineLevel="1" ht="68.5" customFormat="1" customHeight="1" s="36">
      <c r="A84" s="37">
        <f>A56&amp;"_"&amp;B84</f>
        <v/>
      </c>
      <c r="B84" s="42" t="n">
        <v>27</v>
      </c>
      <c r="C84" s="187" t="inlineStr">
        <is>
          <t>Environmental
influences</t>
        </is>
      </c>
      <c r="D84" s="184" t="inlineStr">
        <is>
          <t>Common external environmental disturbance affects both functions</t>
        </is>
      </c>
      <c r="E84" s="45" t="inlineStr">
        <is>
          <t xml:space="preserve">System-level: mechanical shock, water ingress
 系统层面：机械震动、进水                                                                                                                                                                </t>
        </is>
      </c>
      <c r="F84" s="53" t="inlineStr">
        <is>
          <t>not applicable</t>
        </is>
      </c>
      <c r="G84" s="55" t="n"/>
      <c r="H84" s="47" t="n"/>
      <c r="I84" s="47" t="n"/>
      <c r="J84" s="49" t="n"/>
      <c r="K84" s="49" t="n"/>
      <c r="L84" s="49" t="n"/>
      <c r="M84" s="49" t="n"/>
    </row>
    <row r="85" outlineLevel="1" ht="28.5" customFormat="1" customHeight="1" s="36">
      <c r="A85" s="37">
        <f>A56&amp;"_"&amp;B85</f>
        <v/>
      </c>
      <c r="B85" s="50" t="n">
        <v>28</v>
      </c>
      <c r="C85" s="185" t="n"/>
      <c r="D85" s="185" t="n"/>
      <c r="E85" s="45" t="inlineStr">
        <is>
          <t>Software-level: not applicable for Software
软件层面：不适用于软件</t>
        </is>
      </c>
      <c r="F85" s="53" t="inlineStr">
        <is>
          <t>not applicable</t>
        </is>
      </c>
      <c r="G85" s="55" t="n"/>
      <c r="H85" s="47" t="n"/>
      <c r="I85" s="47" t="n"/>
      <c r="J85" s="49" t="n"/>
      <c r="K85" s="49" t="n"/>
      <c r="L85" s="49" t="n"/>
      <c r="M85" s="49" t="n"/>
    </row>
    <row r="86" outlineLevel="1" ht="43" customFormat="1" customHeight="1" s="36">
      <c r="A86" s="37">
        <f>A56&amp;"_"&amp;B86</f>
        <v/>
      </c>
      <c r="B86" s="42" t="n">
        <v>29</v>
      </c>
      <c r="C86" s="186" t="n"/>
      <c r="D86" s="186" t="n"/>
      <c r="E86" s="45" t="inlineStr">
        <is>
          <t>Hardware-level: under and over voltage of the power supply        
硬件层面：电源的欠压和过压情况</t>
        </is>
      </c>
      <c r="F86" s="53" t="inlineStr">
        <is>
          <t>not applicable</t>
        </is>
      </c>
      <c r="G86" s="55" t="n"/>
      <c r="H86" s="47" t="n"/>
      <c r="I86" s="47" t="n"/>
      <c r="J86" s="49" t="n"/>
      <c r="K86" s="49" t="n"/>
      <c r="L86" s="49" t="n"/>
      <c r="M86" s="49" t="n"/>
    </row>
    <row r="87" outlineLevel="1" ht="117" customFormat="1" customHeight="1" s="36">
      <c r="A87" s="37">
        <f>A56&amp;"_"&amp;B87</f>
        <v/>
      </c>
      <c r="B87" s="50" t="n">
        <v>30</v>
      </c>
      <c r="C87" s="187" t="inlineStr">
        <is>
          <t>Unintended impact</t>
        </is>
      </c>
      <c r="D87" s="187" t="inlineStr">
        <is>
          <t>Two functions affecting each other’s elements directly via an implicit, that is unintended interface.</t>
        </is>
      </c>
      <c r="E87" s="45" t="inlineStr">
        <is>
          <t>• Memory / corruption of content*
– “wild pointers“ (including program counter stack)
内存/内容损坏*
——“失控指针”（包括程序计数器栈</t>
        </is>
      </c>
      <c r="F87" s="45" t="inlineStr">
        <is>
          <t xml:space="preserve">Yes </t>
        </is>
      </c>
      <c r="G87" s="46" t="inlineStr">
        <is>
          <t>CAN模块失效后，违背安全目标SG1,SG2.SG3</t>
        </is>
      </c>
      <c r="H87" s="47" t="inlineStr">
        <is>
          <t>1：支持硬线制动灯点亮：
2：支持通信丢失检测当制动灯信号超时后点亮制动灯
3：can bus off后会尝试故障恢复</t>
        </is>
      </c>
      <c r="I87" s="47" t="inlineStr">
        <is>
          <t>SW_DFA_SM_001
SW_DFA_SM_003 
SW_DFA_SM_004</t>
        </is>
      </c>
      <c r="J87" s="48" t="inlineStr">
        <is>
          <t>通过集成测试</t>
        </is>
      </c>
      <c r="K87" s="49" t="inlineStr">
        <is>
          <t>满足ASILB开发和测试</t>
        </is>
      </c>
      <c r="L87" s="49" t="n"/>
      <c r="M87" s="49" t="n"/>
    </row>
    <row r="88" outlineLevel="1" ht="117" customFormat="1" customHeight="1" s="36">
      <c r="A88" s="37">
        <f>A56&amp;"_"&amp;B88</f>
        <v/>
      </c>
      <c r="B88" s="42" t="n">
        <v>31</v>
      </c>
      <c r="C88" s="185" t="n"/>
      <c r="D88" s="185" t="n"/>
      <c r="E88" s="45" t="inlineStr">
        <is>
          <t>– memory mis-allocation
——内存分配错误</t>
        </is>
      </c>
      <c r="F88" s="45" t="inlineStr">
        <is>
          <t xml:space="preserve">Yes </t>
        </is>
      </c>
      <c r="G88" s="46" t="inlineStr">
        <is>
          <t>CAN模块失效后，违背安全目标SG1,SG2.SG3</t>
        </is>
      </c>
      <c r="H88" s="47" t="inlineStr">
        <is>
          <t>1：支持硬线制动灯点亮：
2：支持通信丢失检测当制动灯信号超时后点亮制动灯
3：can bus off后会尝试故障恢复</t>
        </is>
      </c>
      <c r="I88" s="47" t="inlineStr">
        <is>
          <t>SW_DFA_SM_001
SW_DFA_SM_003 
SW_DFA_SM_004</t>
        </is>
      </c>
      <c r="J88" s="48" t="inlineStr">
        <is>
          <t>通过集成测试</t>
        </is>
      </c>
      <c r="K88" s="49" t="inlineStr">
        <is>
          <t>满足ASILB开发和测试</t>
        </is>
      </c>
      <c r="L88" s="49" t="n"/>
      <c r="M88" s="49" t="n"/>
    </row>
    <row r="89" outlineLevel="1" ht="117" customFormat="1" customHeight="1" s="36">
      <c r="A89" s="37">
        <f>A56&amp;"_"&amp;B89</f>
        <v/>
      </c>
      <c r="B89" s="50" t="n">
        <v>32</v>
      </c>
      <c r="C89" s="185" t="n"/>
      <c r="D89" s="185" t="n"/>
      <c r="E89" s="45" t="inlineStr">
        <is>
          <t>– memory leaks
内存泄漏</t>
        </is>
      </c>
      <c r="F89" s="45" t="inlineStr">
        <is>
          <t xml:space="preserve">Yes </t>
        </is>
      </c>
      <c r="G89" s="46" t="inlineStr">
        <is>
          <t>CAN模块失效后，违背安全目标SG1,SG2.SG3</t>
        </is>
      </c>
      <c r="H89" s="47" t="inlineStr">
        <is>
          <t>1：支持硬线制动灯点亮：
2：支持通信丢失检测当制动灯信号超时后点亮制动灯
3：can bus off后会尝试故障恢复</t>
        </is>
      </c>
      <c r="I89" s="47" t="inlineStr">
        <is>
          <t>SW_DFA_SM_001
SW_DFA_SM_003 
SW_DFA_SM_004</t>
        </is>
      </c>
      <c r="J89" s="48" t="inlineStr">
        <is>
          <t>通过集成测试</t>
        </is>
      </c>
      <c r="K89" s="49" t="inlineStr">
        <is>
          <t>满足ASILB开发和测试</t>
        </is>
      </c>
      <c r="L89" s="49" t="n"/>
      <c r="M89" s="49" t="n"/>
    </row>
    <row r="90" outlineLevel="1" ht="58" customFormat="1" customHeight="1" s="36">
      <c r="A90" s="37">
        <f>A56&amp;"_"&amp;B90</f>
        <v/>
      </c>
      <c r="B90" s="42" t="n">
        <v>33</v>
      </c>
      <c r="C90" s="185" t="n"/>
      <c r="D90" s="185" t="n"/>
      <c r="E90" s="45" t="inlineStr">
        <is>
          <t>– read/write access to memory allocated to another software element*
—— 对分配给其他软件组件的内存的读/写访问权限*</t>
        </is>
      </c>
      <c r="F90" s="53" t="inlineStr">
        <is>
          <t>not applicable</t>
        </is>
      </c>
      <c r="G90" s="55" t="n"/>
      <c r="H90" s="47" t="n"/>
      <c r="I90" s="47" t="n"/>
      <c r="J90" s="49" t="n"/>
      <c r="K90" s="49" t="n"/>
      <c r="L90" s="49" t="n"/>
      <c r="M90" s="49" t="n"/>
    </row>
    <row r="91" outlineLevel="1" ht="117" customFormat="1" customHeight="1" s="36">
      <c r="A91" s="37">
        <f>A56&amp;"_"&amp;B91</f>
        <v/>
      </c>
      <c r="B91" s="50" t="n">
        <v>34</v>
      </c>
      <c r="C91" s="185" t="n"/>
      <c r="D91" s="185" t="n"/>
      <c r="E91" s="45" t="inlineStr">
        <is>
          <t>– buffer under-/overflow
– 缓冲区下溢/上溢</t>
        </is>
      </c>
      <c r="F91" s="45" t="inlineStr">
        <is>
          <t xml:space="preserve">Yes </t>
        </is>
      </c>
      <c r="G91" s="46" t="inlineStr">
        <is>
          <t>CAN模块失效后，违背安全目标SG1,SG2.SG3</t>
        </is>
      </c>
      <c r="H91" s="47" t="inlineStr">
        <is>
          <t>1：支持硬线制动灯点亮：
2：支持通信丢失检测当制动灯信号超时后点亮制动灯
3：can bus off后会尝试故障恢复</t>
        </is>
      </c>
      <c r="I91" s="47" t="inlineStr">
        <is>
          <t>SW_DFA_SM_001
SW_DFA_SM_003 
SW_DFA_SM_004</t>
        </is>
      </c>
      <c r="J91" s="48" t="inlineStr">
        <is>
          <t>通过集成测试</t>
        </is>
      </c>
      <c r="K91" s="49" t="inlineStr">
        <is>
          <t>满足ASILB开发和测试</t>
        </is>
      </c>
      <c r="L91" s="49" t="n"/>
      <c r="M91" s="49" t="n"/>
    </row>
    <row r="92" outlineLevel="1" ht="117" customFormat="1" customHeight="1" s="36">
      <c r="A92" s="37">
        <f>A56&amp;"_"&amp;B92</f>
        <v/>
      </c>
      <c r="B92" s="42" t="n">
        <v>35</v>
      </c>
      <c r="C92" s="185" t="n"/>
      <c r="D92" s="185" t="n"/>
      <c r="E92" s="45" t="inlineStr">
        <is>
          <t>• Timing and execution
– deadlocks*
时机与执行
——死锁*</t>
        </is>
      </c>
      <c r="F92" s="45" t="inlineStr">
        <is>
          <t xml:space="preserve">Yes </t>
        </is>
      </c>
      <c r="G92" s="46" t="inlineStr">
        <is>
          <t>CAN模块失效后，违背安全目标SG1,SG2.SG3</t>
        </is>
      </c>
      <c r="H92" s="47" t="inlineStr">
        <is>
          <t>1：支持硬线制动灯点亮：
2：支持通信丢失检测当制动灯信号超时后点亮制动灯
3：can bus off后会尝试故障恢复</t>
        </is>
      </c>
      <c r="I92" s="47" t="inlineStr">
        <is>
          <t>SW_DFA_SM_001
SW_DFA_SM_003 
SW_DFA_SM_004</t>
        </is>
      </c>
      <c r="J92" s="48" t="inlineStr">
        <is>
          <t>通过集成测试</t>
        </is>
      </c>
      <c r="K92" s="49" t="inlineStr">
        <is>
          <t>满足ASILB开发和测试</t>
        </is>
      </c>
      <c r="L92" s="49" t="n"/>
      <c r="M92" s="49" t="n"/>
    </row>
    <row r="93" outlineLevel="1" ht="28.5" customFormat="1" customHeight="1" s="36">
      <c r="A93" s="37">
        <f>A56&amp;"_"&amp;B93</f>
        <v/>
      </c>
      <c r="B93" s="50" t="n">
        <v>36</v>
      </c>
      <c r="C93" s="185" t="n"/>
      <c r="D93" s="185" t="n"/>
      <c r="E93" s="45" t="inlineStr">
        <is>
          <t>– livelocks*
活锁</t>
        </is>
      </c>
      <c r="F93" s="53" t="inlineStr">
        <is>
          <t>not applicable</t>
        </is>
      </c>
      <c r="G93" s="55" t="n"/>
      <c r="H93" s="47" t="n"/>
      <c r="I93" s="47" t="n"/>
      <c r="J93" s="49" t="n"/>
      <c r="K93" s="49" t="n"/>
      <c r="L93" s="49" t="n"/>
      <c r="M93" s="49" t="n"/>
    </row>
    <row r="94" outlineLevel="1" ht="117" customFormat="1" customHeight="1" s="36">
      <c r="A94" s="37">
        <f>A56&amp;"_"&amp;B94</f>
        <v/>
      </c>
      <c r="B94" s="42" t="n">
        <v>37</v>
      </c>
      <c r="C94" s="185" t="n"/>
      <c r="D94" s="185" t="n"/>
      <c r="E94" s="45" t="inlineStr">
        <is>
          <t>– incorrect allocation of execution time*
——执行时间分配不当*</t>
        </is>
      </c>
      <c r="F94" s="45" t="inlineStr">
        <is>
          <t xml:space="preserve">Yes </t>
        </is>
      </c>
      <c r="G94" s="46" t="inlineStr">
        <is>
          <t>CAN模块失效后，违背安全目标SG1,SG2.SG3</t>
        </is>
      </c>
      <c r="H94" s="47" t="inlineStr">
        <is>
          <t>1：支持硬线制动灯点亮：
2：支持通信丢失检测当制动灯信号超时后点亮制动灯
3：can bus off后会尝试故障恢复</t>
        </is>
      </c>
      <c r="I94" s="47" t="inlineStr">
        <is>
          <t>SW_DFA_SM_001
SW_DFA_SM_003 
SW_DFA_SM_004</t>
        </is>
      </c>
      <c r="J94" s="48" t="inlineStr">
        <is>
          <t>通过集成测试</t>
        </is>
      </c>
      <c r="K94" s="49" t="inlineStr">
        <is>
          <t>满足ASILB开发和测试</t>
        </is>
      </c>
      <c r="L94" s="49" t="n"/>
      <c r="M94" s="49" t="n"/>
    </row>
    <row r="95" outlineLevel="1" ht="117" customFormat="1" customHeight="1" s="36">
      <c r="A95" s="37">
        <f>A56&amp;"_"&amp;B95</f>
        <v/>
      </c>
      <c r="B95" s="50" t="n">
        <v>38</v>
      </c>
      <c r="C95" s="186" t="n"/>
      <c r="D95" s="186" t="n"/>
      <c r="E95" s="45" t="inlineStr">
        <is>
          <t>– incorrect synchronization between software elements*
——软件各组成部分之间的同步不正确*</t>
        </is>
      </c>
      <c r="F95" s="45" t="inlineStr">
        <is>
          <t xml:space="preserve">Yes </t>
        </is>
      </c>
      <c r="G95" s="46" t="inlineStr">
        <is>
          <t>CAN模块失效后，违背安全目标SG1,SG2.SG3</t>
        </is>
      </c>
      <c r="H95" s="47" t="inlineStr">
        <is>
          <t>1：支持硬线制动灯点亮：
2：支持通信丢失检测当制动灯信号超时后点亮制动灯
3：can bus off后会尝试故障恢复</t>
        </is>
      </c>
      <c r="I95" s="47" t="inlineStr">
        <is>
          <t>SW_DFA_SM_001
SW_DFA_SM_003 
SW_DFA_SM_004</t>
        </is>
      </c>
      <c r="J95" s="48" t="inlineStr">
        <is>
          <t>通过集成测试</t>
        </is>
      </c>
      <c r="K95" s="49" t="inlineStr">
        <is>
          <t>满足ASILB开发和测试</t>
        </is>
      </c>
      <c r="L95" s="49" t="n"/>
      <c r="M95" s="49" t="n"/>
    </row>
    <row r="96" outlineLevel="1" ht="72" customFormat="1" customHeight="1" s="36">
      <c r="A96" s="37">
        <f>A56&amp;"_"&amp;B96</f>
        <v/>
      </c>
      <c r="B96" s="42" t="n">
        <v>39</v>
      </c>
      <c r="C96" s="187" t="inlineStr">
        <is>
          <t>Systematic coupling</t>
        </is>
      </c>
      <c r="D96" s="187" t="inlineStr">
        <is>
          <t>Systematic causes from human or tool errors can lead to the simultaneous failure of more than one function</t>
        </is>
      </c>
      <c r="E96" s="45" t="inlineStr">
        <is>
          <t>• Manufacturing fault / repair fault (e.g. false flashing, false calibration reference for sensors)
制造故障/维修故障（例如：错误的闪烁现象、传感器的错误校准参考值）</t>
        </is>
      </c>
      <c r="F96" s="53" t="inlineStr">
        <is>
          <t>not applicable</t>
        </is>
      </c>
      <c r="G96" s="55" t="n"/>
      <c r="H96" s="47" t="n"/>
      <c r="I96" s="47" t="n"/>
      <c r="J96" s="49" t="n"/>
      <c r="K96" s="49" t="n"/>
      <c r="L96" s="49" t="n"/>
      <c r="M96" s="49" t="n"/>
    </row>
    <row r="97" outlineLevel="1" ht="115.5" customFormat="1" customHeight="1" s="36">
      <c r="A97" s="37">
        <f>A56&amp;"_"&amp;B97</f>
        <v/>
      </c>
      <c r="B97" s="50" t="n">
        <v>40</v>
      </c>
      <c r="C97" s="185" t="n"/>
      <c r="D97" s="185" t="n"/>
      <c r="E97" s="61" t="inlineStr">
        <is>
          <t xml:space="preserve">• Non-diverse development approaches including:
– same software tools (e.g. IDE, compiler, linker)
非多元化的发展方式包括：
——相同的软件工具（例如集成开发环境、编译器、链接器）
</t>
        </is>
      </c>
      <c r="F97" s="45" t="inlineStr">
        <is>
          <t xml:space="preserve">Yes </t>
        </is>
      </c>
      <c r="G97" s="62" t="inlineStr">
        <is>
          <t>代码异常导致的违背安全目标</t>
        </is>
      </c>
      <c r="H97" s="63" t="inlineStr">
        <is>
          <t>工具鉴定</t>
        </is>
      </c>
      <c r="I97" s="63" t="n"/>
      <c r="J97" s="49" t="inlineStr">
        <is>
          <t>通过集成测试</t>
        </is>
      </c>
      <c r="K97" s="68" t="inlineStr">
        <is>
          <t>满足ASILB开发和测试</t>
        </is>
      </c>
      <c r="L97" s="68" t="n"/>
      <c r="M97" s="49" t="n"/>
    </row>
    <row r="98" outlineLevel="1" ht="28.5" customFormat="1" customHeight="1" s="36">
      <c r="A98" s="37">
        <f>A56&amp;"_"&amp;B98</f>
        <v/>
      </c>
      <c r="B98" s="42" t="n">
        <v>41</v>
      </c>
      <c r="C98" s="185" t="n"/>
      <c r="D98" s="185" t="n"/>
      <c r="E98" s="61" t="inlineStr">
        <is>
          <t>– same algorithms
相同的算法</t>
        </is>
      </c>
      <c r="F98" s="53" t="inlineStr">
        <is>
          <t>not applicable</t>
        </is>
      </c>
      <c r="G98" s="55" t="n"/>
      <c r="H98" s="47" t="n"/>
      <c r="I98" s="47" t="n"/>
      <c r="J98" s="49" t="n"/>
      <c r="K98" s="49" t="n"/>
      <c r="L98" s="49" t="n"/>
      <c r="M98" s="49" t="n"/>
    </row>
    <row r="99" outlineLevel="1" ht="43.5" customFormat="1" customHeight="1" s="36">
      <c r="A99" s="37">
        <f>A56&amp;"_"&amp;B99</f>
        <v/>
      </c>
      <c r="B99" s="50" t="n">
        <v>42</v>
      </c>
      <c r="C99" s="185" t="n"/>
      <c r="D99" s="185" t="n"/>
      <c r="E99" s="61" t="inlineStr">
        <is>
          <t>– same programming and/or modelling language used
所使用的编程和/或建模语言相同</t>
        </is>
      </c>
      <c r="F99" s="45" t="inlineStr">
        <is>
          <t xml:space="preserve">Yes </t>
        </is>
      </c>
      <c r="G99" s="62" t="inlineStr">
        <is>
          <t>代码异常导致的违背安全目标</t>
        </is>
      </c>
      <c r="H99" s="63" t="inlineStr">
        <is>
          <t>工具鉴定</t>
        </is>
      </c>
      <c r="I99" s="47" t="n"/>
      <c r="J99" s="49" t="inlineStr">
        <is>
          <t>通过集成测试</t>
        </is>
      </c>
      <c r="K99" s="49" t="inlineStr">
        <is>
          <t>满足ASILB开发和测试</t>
        </is>
      </c>
      <c r="L99" s="49" t="n"/>
      <c r="M99" s="49" t="n"/>
    </row>
    <row r="100" outlineLevel="1" ht="29" customFormat="1" customHeight="1" s="36">
      <c r="A100" s="37">
        <f>A56&amp;"_"&amp;B100</f>
        <v/>
      </c>
      <c r="B100" s="42" t="n">
        <v>43</v>
      </c>
      <c r="C100" s="185" t="n"/>
      <c r="D100" s="185" t="n"/>
      <c r="E100" s="61" t="inlineStr">
        <is>
          <t>– same complier/linker used
使用的是相同的编译器/链接器</t>
        </is>
      </c>
      <c r="F100" s="45" t="inlineStr">
        <is>
          <t xml:space="preserve">Yes </t>
        </is>
      </c>
      <c r="G100" s="62" t="inlineStr">
        <is>
          <t>代码异常导致的违背安全目标</t>
        </is>
      </c>
      <c r="H100" s="63" t="inlineStr">
        <is>
          <t>工具鉴定</t>
        </is>
      </c>
      <c r="I100" s="47" t="n"/>
      <c r="J100" s="49" t="inlineStr">
        <is>
          <t>通过集成测试</t>
        </is>
      </c>
      <c r="K100" s="49" t="inlineStr">
        <is>
          <t>满足ASILB开发和测试</t>
        </is>
      </c>
      <c r="L100" s="49" t="n"/>
      <c r="M100" s="49" t="n"/>
    </row>
    <row r="101" outlineLevel="1" ht="28.5" customFormat="1" customHeight="1" s="36">
      <c r="A101" s="37">
        <f>A56&amp;"_"&amp;B101</f>
        <v/>
      </c>
      <c r="B101" s="50" t="n">
        <v>44</v>
      </c>
      <c r="C101" s="185" t="n"/>
      <c r="D101" s="185" t="n"/>
      <c r="E101" s="45" t="inlineStr">
        <is>
          <t>• Same personnel
相同人员</t>
        </is>
      </c>
      <c r="F101" s="53" t="inlineStr">
        <is>
          <t>not applicable</t>
        </is>
      </c>
      <c r="G101" s="55" t="n"/>
      <c r="H101" s="47" t="n"/>
      <c r="I101" s="47" t="n"/>
      <c r="J101" s="49" t="n"/>
      <c r="K101" s="49" t="n"/>
      <c r="L101" s="49" t="n"/>
      <c r="M101" s="49" t="n"/>
    </row>
    <row r="102" outlineLevel="1" ht="57" customFormat="1" customHeight="1" s="36">
      <c r="A102" s="37">
        <f>A56&amp;"_"&amp;B102</f>
        <v/>
      </c>
      <c r="B102" s="42" t="n">
        <v>45</v>
      </c>
      <c r="C102" s="185" t="n"/>
      <c r="D102" s="185" t="n"/>
      <c r="E102" s="45" t="inlineStr">
        <is>
          <t>• Same social-cultural context (even if different personnel)
相同的社会文化背景（即便人员有所不同）</t>
        </is>
      </c>
      <c r="F102" s="53" t="inlineStr">
        <is>
          <t>not applicable</t>
        </is>
      </c>
      <c r="G102" s="55" t="n"/>
      <c r="H102" s="47" t="n"/>
      <c r="I102" s="47" t="n"/>
      <c r="J102" s="49" t="n"/>
      <c r="K102" s="49" t="n"/>
      <c r="L102" s="49" t="n"/>
      <c r="M102" s="49" t="n"/>
    </row>
    <row r="103" outlineLevel="1" ht="57.5" customFormat="1" customHeight="1" s="36">
      <c r="A103" s="37">
        <f>A56&amp;"_"&amp;B103</f>
        <v/>
      </c>
      <c r="B103" s="50" t="n">
        <v>46</v>
      </c>
      <c r="C103" s="185" t="n"/>
      <c r="D103" s="185" t="n"/>
      <c r="E103" s="45" t="inlineStr">
        <is>
          <t>• Development fault, e.g.
– human error
开发失误，例如：
– 人为错误</t>
        </is>
      </c>
      <c r="F103" s="53" t="inlineStr">
        <is>
          <t>not applicable</t>
        </is>
      </c>
      <c r="G103" s="55" t="n"/>
      <c r="H103" s="47" t="n"/>
      <c r="I103" s="47" t="n"/>
      <c r="J103" s="49" t="n"/>
      <c r="K103" s="49" t="n"/>
      <c r="L103" s="49" t="n"/>
      <c r="M103" s="49" t="n"/>
    </row>
    <row r="104" outlineLevel="1" ht="28.5" customFormat="1" customHeight="1" s="36">
      <c r="A104" s="37">
        <f>A56&amp;"_"&amp;B104</f>
        <v/>
      </c>
      <c r="B104" s="42" t="n">
        <v>47</v>
      </c>
      <c r="C104" s="185" t="n"/>
      <c r="D104" s="185" t="n"/>
      <c r="E104" s="45" t="inlineStr">
        <is>
          <t>– insufficiently qualified personnel
资质不足的人员</t>
        </is>
      </c>
      <c r="F104" s="53" t="inlineStr">
        <is>
          <t>not applicable</t>
        </is>
      </c>
      <c r="G104" s="55" t="n"/>
      <c r="H104" s="47" t="n"/>
      <c r="I104" s="47" t="n"/>
      <c r="J104" s="49" t="n"/>
      <c r="K104" s="49" t="n"/>
      <c r="L104" s="49" t="n"/>
      <c r="M104" s="49" t="n"/>
    </row>
    <row r="105" outlineLevel="1" ht="28.5" customFormat="1" customHeight="1" s="36">
      <c r="A105" s="37">
        <f>A56&amp;"_"&amp;B105</f>
        <v/>
      </c>
      <c r="B105" s="50" t="n">
        <v>48</v>
      </c>
      <c r="C105" s="185" t="n"/>
      <c r="D105" s="185" t="n"/>
      <c r="E105" s="45" t="inlineStr">
        <is>
          <t>– process weaknesses
处理弱点</t>
        </is>
      </c>
      <c r="F105" s="53" t="inlineStr">
        <is>
          <t>not applicable</t>
        </is>
      </c>
      <c r="G105" s="55" t="n"/>
      <c r="H105" s="47" t="n"/>
      <c r="I105" s="47" t="n"/>
      <c r="J105" s="49" t="n"/>
      <c r="K105" s="49" t="n"/>
      <c r="L105" s="49" t="n"/>
      <c r="M105" s="49" t="n"/>
    </row>
    <row r="106" outlineLevel="1" ht="14.5" customFormat="1" customHeight="1" s="36">
      <c r="A106" s="37">
        <f>A56&amp;"_"&amp;B106</f>
        <v/>
      </c>
      <c r="B106" s="42" t="n">
        <v>49</v>
      </c>
      <c r="C106" s="186" t="n"/>
      <c r="D106" s="186" t="n"/>
      <c r="E106" s="45" t="inlineStr">
        <is>
          <t>– insufficient methods方法不足</t>
        </is>
      </c>
      <c r="F106" s="53" t="inlineStr">
        <is>
          <t>not applicable</t>
        </is>
      </c>
      <c r="G106" s="55" t="n"/>
      <c r="H106" s="47" t="n"/>
      <c r="I106" s="47" t="n"/>
      <c r="J106" s="49" t="n"/>
      <c r="K106" s="49" t="n"/>
      <c r="L106" s="49" t="n"/>
      <c r="M106" s="49" t="n"/>
    </row>
    <row r="107" ht="75" customFormat="1" customHeight="1" s="36">
      <c r="A107" s="67">
        <f>'Top Event'!B6</f>
        <v/>
      </c>
      <c r="B107" s="67" t="n"/>
      <c r="C107" s="67">
        <f>'Top Event'!C6</f>
        <v/>
      </c>
      <c r="D107" s="67">
        <f>'Top Event'!D6</f>
        <v/>
      </c>
      <c r="E107" s="67">
        <f>'Top Event'!E6</f>
        <v/>
      </c>
      <c r="F107" s="66" t="n"/>
      <c r="G107" s="66" t="n"/>
      <c r="H107" s="64" t="n"/>
      <c r="I107" s="64" t="n"/>
      <c r="J107" s="36" t="n"/>
      <c r="K107" s="36" t="n"/>
      <c r="L107" s="36" t="n"/>
      <c r="M107" s="36" t="n"/>
    </row>
    <row r="108" ht="37.25" customFormat="1" customHeight="1" s="36">
      <c r="A108" s="37" t="n"/>
      <c r="B108" s="37" t="n"/>
      <c r="C108" s="38" t="inlineStr">
        <is>
          <t>DF-I Category</t>
        </is>
      </c>
      <c r="D108" s="38" t="inlineStr">
        <is>
          <t>Interpretation</t>
        </is>
      </c>
      <c r="E108" s="38" t="inlineStr">
        <is>
          <t>DF-Initiator Examples</t>
        </is>
      </c>
      <c r="F108" s="38" t="inlineStr">
        <is>
          <t>Applicable?</t>
        </is>
      </c>
      <c r="G108" s="38" t="inlineStr">
        <is>
          <t>safety  goal related</t>
        </is>
      </c>
      <c r="H108" s="39" t="inlineStr">
        <is>
          <t>Counter Measure</t>
        </is>
      </c>
      <c r="I108" s="39" t="inlineStr">
        <is>
          <t>Counter Measure ID</t>
        </is>
      </c>
      <c r="J108" s="38" t="inlineStr">
        <is>
          <t>Evidence</t>
        </is>
      </c>
      <c r="K108" s="38" t="inlineStr">
        <is>
          <t>sufficient?</t>
        </is>
      </c>
      <c r="L108" s="38" t="n"/>
      <c r="M108" s="41" t="inlineStr">
        <is>
          <t>Comment</t>
        </is>
      </c>
    </row>
    <row r="109" outlineLevel="1" ht="86" customFormat="1" customHeight="1" s="36">
      <c r="A109" s="37">
        <f>A107&amp;"_"&amp;B109</f>
        <v/>
      </c>
      <c r="B109" s="42" t="n">
        <v>1</v>
      </c>
      <c r="C109" s="183" t="inlineStr">
        <is>
          <t>Shared resource</t>
        </is>
      </c>
      <c r="D109" s="184" t="inlineStr">
        <is>
          <t>The same software, hardware, or system element instance used by the two elements which are therefore affected by the failure or unavailability of that shared resource, i.e. from a physical perspective.</t>
        </is>
      </c>
      <c r="E109" s="45" t="inlineStr">
        <is>
          <t>Software component used by more than one other software component, e.g.
– reused standard software modules
被多个其他软件组件所使用的软件组件，例如：
– 重复使用的标准软件模块</t>
        </is>
      </c>
      <c r="F109" s="53" t="inlineStr">
        <is>
          <t>not applicable</t>
        </is>
      </c>
      <c r="G109" s="46" t="n"/>
      <c r="H109" s="47" t="n"/>
      <c r="I109" s="47" t="n"/>
      <c r="J109" s="48" t="n"/>
      <c r="K109" s="49" t="n"/>
      <c r="L109" s="49" t="n"/>
      <c r="M109" s="49" t="n"/>
    </row>
    <row r="110" outlineLevel="1" ht="28.5" customFormat="1" customHeight="1" s="36">
      <c r="A110" s="37">
        <f>A107&amp;"_"&amp;B110</f>
        <v/>
      </c>
      <c r="B110" s="50" t="n">
        <v>2</v>
      </c>
      <c r="C110" s="185" t="n"/>
      <c r="D110" s="185" t="n"/>
      <c r="E110" s="45" t="inlineStr">
        <is>
          <t>– libraries
库</t>
        </is>
      </c>
      <c r="F110" s="53" t="inlineStr">
        <is>
          <t>not applicable</t>
        </is>
      </c>
      <c r="G110" s="55" t="n"/>
      <c r="H110" s="47" t="n"/>
      <c r="I110" s="47" t="n"/>
      <c r="J110" s="49" t="n"/>
      <c r="K110" s="49" t="n"/>
      <c r="L110" s="49" t="n"/>
      <c r="M110" s="49" t="n"/>
    </row>
    <row r="111" outlineLevel="1" ht="28.5" customFormat="1" customHeight="1" s="36">
      <c r="A111" s="37">
        <f>A107&amp;"_"&amp;B111</f>
        <v/>
      </c>
      <c r="B111" s="42" t="n">
        <v>3</v>
      </c>
      <c r="C111" s="185" t="n"/>
      <c r="D111" s="185" t="n"/>
      <c r="E111" s="45" t="inlineStr">
        <is>
          <t>– middleware
中间件</t>
        </is>
      </c>
      <c r="F111" s="53" t="inlineStr">
        <is>
          <t>not applicable</t>
        </is>
      </c>
      <c r="G111" s="55" t="n"/>
      <c r="H111" s="47" t="n"/>
      <c r="I111" s="47" t="n"/>
      <c r="J111" s="49" t="n"/>
      <c r="K111" s="49" t="n"/>
      <c r="L111" s="49" t="n"/>
      <c r="M111" s="49" t="n"/>
    </row>
    <row r="112" outlineLevel="1" ht="56" customFormat="1" customHeight="1" s="36">
      <c r="A112" s="37">
        <f>A107&amp;"_"&amp;B112</f>
        <v/>
      </c>
      <c r="B112" s="50" t="n">
        <v>4</v>
      </c>
      <c r="C112" s="185" t="n"/>
      <c r="D112" s="185" t="n"/>
      <c r="E112" s="45" t="inlineStr">
        <is>
          <t>– basic software
基本软件</t>
        </is>
      </c>
      <c r="F112" s="45" t="inlineStr">
        <is>
          <t xml:space="preserve">Yes </t>
        </is>
      </c>
      <c r="G112" s="46" t="inlineStr">
        <is>
          <t>ADC模块失效后，导致电源管理失效，会导致制动灯转向灯倒车灯识别异常电压关闭，违背安全目标SG1,SG2.SG3</t>
        </is>
      </c>
      <c r="H112" s="47" t="inlineStr">
        <is>
          <t xml:space="preserve">1：支持硬线制动灯点亮：
</t>
        </is>
      </c>
      <c r="I112" s="47" t="inlineStr">
        <is>
          <t>SW_DFA_SM_001</t>
        </is>
      </c>
      <c r="J112" s="48" t="inlineStr">
        <is>
          <t>通过集成测试</t>
        </is>
      </c>
      <c r="K112" s="49" t="inlineStr">
        <is>
          <t>满足ASILB开发和测试</t>
        </is>
      </c>
      <c r="L112" s="49" t="n"/>
      <c r="M112" s="49" t="n"/>
    </row>
    <row r="113" outlineLevel="1" ht="43.5" customFormat="1" customHeight="1" s="36">
      <c r="A113" s="37">
        <f>A107&amp;"_"&amp;B113</f>
        <v/>
      </c>
      <c r="B113" s="42" t="n">
        <v>5</v>
      </c>
      <c r="C113" s="185" t="n"/>
      <c r="D113" s="185" t="n"/>
      <c r="E113" s="45" t="inlineStr">
        <is>
          <t xml:space="preserve">– operating system including scheduler
——包含调度器的操作系统
</t>
        </is>
      </c>
      <c r="F113" s="53" t="inlineStr">
        <is>
          <t>not applicable</t>
        </is>
      </c>
      <c r="G113" s="55" t="n"/>
      <c r="H113" s="47" t="n"/>
      <c r="I113" s="47" t="n"/>
      <c r="J113" s="49" t="n"/>
      <c r="K113" s="49" t="n"/>
      <c r="L113" s="49" t="n"/>
      <c r="M113" s="49" t="n"/>
    </row>
    <row r="114" outlineLevel="1" ht="28.5" customFormat="1" customHeight="1" s="36">
      <c r="A114" s="37">
        <f>A107&amp;"_"&amp;B114</f>
        <v/>
      </c>
      <c r="B114" s="50" t="n">
        <v>6</v>
      </c>
      <c r="C114" s="185" t="n"/>
      <c r="D114" s="185" t="n"/>
      <c r="E114" s="45" t="inlineStr">
        <is>
          <t>– communication stack
通信协议栈</t>
        </is>
      </c>
      <c r="F114" s="53" t="inlineStr">
        <is>
          <t>not applicable</t>
        </is>
      </c>
      <c r="G114" s="46" t="n"/>
      <c r="H114" s="47" t="n"/>
      <c r="I114" s="47" t="n"/>
      <c r="J114" s="48" t="n"/>
      <c r="K114" s="49" t="n"/>
      <c r="L114" s="49" t="n"/>
      <c r="M114" s="49" t="n"/>
    </row>
    <row r="115" outlineLevel="1" ht="29" customFormat="1" customHeight="1" s="36">
      <c r="A115" s="37">
        <f>A107&amp;"_"&amp;B115</f>
        <v/>
      </c>
      <c r="B115" s="42" t="n">
        <v>7</v>
      </c>
      <c r="C115" s="185" t="n"/>
      <c r="D115" s="185" t="n"/>
      <c r="E115" s="45" t="inlineStr">
        <is>
          <t xml:space="preserve">– parameter file参数文件
</t>
        </is>
      </c>
      <c r="F115" s="53" t="inlineStr">
        <is>
          <t>not applicable</t>
        </is>
      </c>
      <c r="G115" s="55" t="n"/>
      <c r="H115" s="47" t="n"/>
      <c r="I115" s="47" t="n"/>
      <c r="J115" s="49" t="n"/>
      <c r="K115" s="49" t="n"/>
      <c r="L115" s="49" t="n"/>
      <c r="M115" s="49" t="n"/>
    </row>
    <row r="116" outlineLevel="1" ht="70" customFormat="1" customHeight="1" s="36">
      <c r="A116" s="37">
        <f>A107&amp;"_"&amp;B116</f>
        <v/>
      </c>
      <c r="B116" s="50" t="n">
        <v>8</v>
      </c>
      <c r="C116" s="185" t="n"/>
      <c r="D116" s="185" t="n"/>
      <c r="E116" s="45" t="inlineStr">
        <is>
          <t>– execution time
执行时间</t>
        </is>
      </c>
      <c r="F116" s="45" t="inlineStr">
        <is>
          <t xml:space="preserve">Yes </t>
        </is>
      </c>
      <c r="G116" s="46" t="inlineStr">
        <is>
          <t>ADC模块执行时间被抢占导致无法实时获取AD值，会导致电源管理失效，会导致制动灯转向灯倒车灯识别异常电压关闭，违背安全目标SG1,SG2.SG3</t>
        </is>
      </c>
      <c r="H116" s="47" t="inlineStr">
        <is>
          <t xml:space="preserve">1：支持硬线制动灯点亮：
</t>
        </is>
      </c>
      <c r="I116" s="47" t="inlineStr">
        <is>
          <t>SW_DFA_SM_001</t>
        </is>
      </c>
      <c r="J116" s="48" t="inlineStr">
        <is>
          <t>通过集成测试</t>
        </is>
      </c>
      <c r="K116" s="49" t="inlineStr">
        <is>
          <t>满足ASILB开发和测试</t>
        </is>
      </c>
      <c r="L116" s="49" t="n"/>
      <c r="M116" s="49" t="n"/>
    </row>
    <row r="117" outlineLevel="1" ht="14.5" customFormat="1" customHeight="1" s="36">
      <c r="A117" s="37">
        <f>A107&amp;"_"&amp;B117</f>
        <v/>
      </c>
      <c r="B117" s="42" t="n">
        <v>9</v>
      </c>
      <c r="C117" s="186" t="n"/>
      <c r="D117" s="186" t="n"/>
      <c r="E117" s="45" t="inlineStr">
        <is>
          <t>– allocated memory</t>
        </is>
      </c>
      <c r="F117" s="53" t="inlineStr">
        <is>
          <t>not applicable</t>
        </is>
      </c>
      <c r="G117" s="55" t="n"/>
      <c r="H117" s="47" t="n"/>
      <c r="I117" s="47" t="n"/>
      <c r="J117" s="49" t="n"/>
      <c r="K117" s="49" t="n"/>
      <c r="L117" s="49" t="n"/>
      <c r="M117" s="49" t="n"/>
    </row>
    <row r="118" outlineLevel="1" ht="28.5" customFormat="1" customHeight="1" s="36">
      <c r="A118" s="37">
        <f>A107&amp;"_"&amp;B118</f>
        <v/>
      </c>
      <c r="B118" s="50" t="n">
        <v>10</v>
      </c>
      <c r="C118" s="187" t="inlineStr">
        <is>
          <t>Components of
identical type</t>
        </is>
      </c>
      <c r="D118" s="187" t="inlineStr">
        <is>
          <t>Identical components may fail with higher probability simultaneously (common mode failures)</t>
        </is>
      </c>
      <c r="E118" s="45" t="inlineStr">
        <is>
          <t>• Reused standard software modules
重复使用的标准软件模块</t>
        </is>
      </c>
      <c r="F118" s="53" t="inlineStr">
        <is>
          <t>not applicable</t>
        </is>
      </c>
      <c r="G118" s="46" t="n"/>
      <c r="H118" s="47" t="n"/>
      <c r="I118" s="47" t="n"/>
      <c r="J118" s="48" t="n"/>
      <c r="K118" s="49" t="n"/>
      <c r="L118" s="49" t="n"/>
      <c r="M118" s="49" t="n"/>
    </row>
    <row r="119" outlineLevel="1" ht="56" customFormat="1" customHeight="1" s="36">
      <c r="A119" s="37">
        <f>A107&amp;"_"&amp;B119</f>
        <v/>
      </c>
      <c r="B119" s="42" t="n">
        <v>11</v>
      </c>
      <c r="C119" s="185" t="n"/>
      <c r="D119" s="185" t="n"/>
      <c r="E119" s="45" t="inlineStr">
        <is>
          <t>• Standard library components
标准库组件</t>
        </is>
      </c>
      <c r="F119" s="45" t="inlineStr">
        <is>
          <t xml:space="preserve">Yes </t>
        </is>
      </c>
      <c r="G119" s="46" t="inlineStr">
        <is>
          <t>ADC模块失效后，导致电源管理失效，会导致制动灯转向灯倒车灯识别异常电压关闭，违背安全目标SG1,SG2.SG3</t>
        </is>
      </c>
      <c r="H119" s="47" t="inlineStr">
        <is>
          <t xml:space="preserve">1：支持硬线制动灯点亮：
</t>
        </is>
      </c>
      <c r="I119" s="47" t="inlineStr">
        <is>
          <t>SW_DFA_SM_001</t>
        </is>
      </c>
      <c r="J119" s="48" t="inlineStr">
        <is>
          <t>通过集成测试</t>
        </is>
      </c>
      <c r="K119" s="49" t="inlineStr">
        <is>
          <t>满足ASILB开发和测试</t>
        </is>
      </c>
      <c r="L119" s="49" t="n"/>
      <c r="M119" s="49" t="n"/>
    </row>
    <row r="120" outlineLevel="1" ht="28.5" customFormat="1" customHeight="1" s="36">
      <c r="A120" s="37">
        <f>A107&amp;"_"&amp;B120</f>
        <v/>
      </c>
      <c r="B120" s="50" t="n">
        <v>12</v>
      </c>
      <c r="C120" s="185" t="n"/>
      <c r="D120" s="185" t="n"/>
      <c r="E120" s="45" t="inlineStr">
        <is>
          <t>• Middleware
中间件</t>
        </is>
      </c>
      <c r="F120" s="53" t="inlineStr">
        <is>
          <t>not applicable</t>
        </is>
      </c>
      <c r="G120" s="55" t="n"/>
      <c r="H120" s="47" t="n"/>
      <c r="I120" s="47" t="n"/>
      <c r="J120" s="49" t="n"/>
      <c r="K120" s="49" t="n"/>
      <c r="L120" s="49" t="n"/>
      <c r="M120" s="49" t="n"/>
    </row>
    <row r="121" outlineLevel="1" ht="28.5" customFormat="1" customHeight="1" s="36">
      <c r="A121" s="37">
        <f>A107&amp;"_"&amp;B121</f>
        <v/>
      </c>
      <c r="B121" s="42" t="n">
        <v>13</v>
      </c>
      <c r="C121" s="185" t="n"/>
      <c r="D121" s="185" t="n"/>
      <c r="E121" s="45" t="inlineStr">
        <is>
          <t>• Operating system
操作系统</t>
        </is>
      </c>
      <c r="F121" s="53" t="inlineStr">
        <is>
          <t>not applicable</t>
        </is>
      </c>
      <c r="G121" s="55" t="n"/>
      <c r="H121" s="47" t="n"/>
      <c r="I121" s="47" t="n"/>
      <c r="J121" s="49" t="n"/>
      <c r="K121" s="49" t="n"/>
      <c r="L121" s="49" t="n"/>
      <c r="M121" s="49" t="n"/>
    </row>
    <row r="122" outlineLevel="1" ht="28.5" customFormat="1" customHeight="1" s="36">
      <c r="A122" s="37">
        <f>A107&amp;"_"&amp;B122</f>
        <v/>
      </c>
      <c r="B122" s="50" t="n">
        <v>14</v>
      </c>
      <c r="C122" s="185" t="n"/>
      <c r="D122" s="185" t="n"/>
      <c r="E122" s="45" t="inlineStr">
        <is>
          <t>• Communication stack
通信栈</t>
        </is>
      </c>
      <c r="F122" s="53" t="inlineStr">
        <is>
          <t>not applicable</t>
        </is>
      </c>
      <c r="G122" s="55" t="n"/>
      <c r="H122" s="47" t="n"/>
      <c r="I122" s="47" t="n"/>
      <c r="J122" s="49" t="n"/>
      <c r="K122" s="49" t="n"/>
      <c r="L122" s="49" t="n"/>
      <c r="M122" s="49" t="n"/>
    </row>
    <row r="123" outlineLevel="1" ht="58" customFormat="1" customHeight="1" s="36">
      <c r="A123" s="37">
        <f>A107&amp;"_"&amp;B123</f>
        <v/>
      </c>
      <c r="B123" s="42" t="n">
        <v>15</v>
      </c>
      <c r="C123" s="186" t="n"/>
      <c r="D123" s="186" t="n"/>
      <c r="E123" s="45" t="inlineStr">
        <is>
          <t xml:space="preserve">
• Parameter set
参数设置
</t>
        </is>
      </c>
      <c r="F123" s="53" t="inlineStr">
        <is>
          <t>not applicable</t>
        </is>
      </c>
      <c r="G123" s="55" t="n"/>
      <c r="H123" s="47" t="n"/>
      <c r="I123" s="47" t="n"/>
      <c r="J123" s="49" t="n"/>
      <c r="K123" s="49" t="n"/>
      <c r="L123" s="49" t="n"/>
      <c r="M123" s="49" t="n"/>
    </row>
    <row r="124" outlineLevel="1" ht="100.5" customFormat="1" customHeight="1" s="36">
      <c r="A124" s="37">
        <f>A107&amp;"_"&amp;B124</f>
        <v/>
      </c>
      <c r="B124" s="50" t="n">
        <v>16</v>
      </c>
      <c r="C124" s="187" t="inlineStr">
        <is>
          <t>Communication
between the two
functions</t>
        </is>
      </c>
      <c r="D124" s="184" t="inlineStr">
        <is>
          <t>Receiving function is affected by information that is false, lost, sent multiple times, or in the wrong order etc. from the sender</t>
        </is>
      </c>
      <c r="E124"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124" s="53" t="inlineStr">
        <is>
          <t>not applicable</t>
        </is>
      </c>
      <c r="G124" s="55" t="n"/>
      <c r="H124" s="47" t="n"/>
      <c r="I124" s="47" t="n"/>
      <c r="J124" s="49" t="n"/>
      <c r="K124" s="49" t="n"/>
      <c r="L124" s="49" t="n"/>
      <c r="M124" s="49" t="n"/>
    </row>
    <row r="125" outlineLevel="1" ht="72.5" customFormat="1" customHeight="1" s="36">
      <c r="A125" s="37">
        <f>A107&amp;"_"&amp;B125</f>
        <v/>
      </c>
      <c r="B125" s="42" t="n">
        <v>17</v>
      </c>
      <c r="C125" s="185" t="n"/>
      <c r="D125" s="185" t="n"/>
      <c r="E125" s="45" t="inlineStr">
        <is>
          <t>• Data or message corruption/ repetition*/ loss*/ delay*/ masquerading or incorrect addressing of information*
数据或信息的损坏/重复/丢失/延迟/伪装或信息的错误标识*</t>
        </is>
      </c>
      <c r="F125" s="53" t="inlineStr">
        <is>
          <t>not applicable</t>
        </is>
      </c>
      <c r="G125" s="55" t="n"/>
      <c r="H125" s="47" t="n"/>
      <c r="I125" s="47" t="n"/>
      <c r="J125" s="49" t="n"/>
      <c r="K125" s="49" t="n"/>
      <c r="L125" s="49" t="n"/>
      <c r="M125" s="49" t="n"/>
    </row>
    <row r="126" outlineLevel="1" ht="49" customFormat="1" customHeight="1" s="36">
      <c r="A126" s="37">
        <f>A107&amp;"_"&amp;B126</f>
        <v/>
      </c>
      <c r="B126" s="50" t="n">
        <v>18</v>
      </c>
      <c r="C126" s="185" t="n"/>
      <c r="D126" s="185" t="n"/>
      <c r="E126" s="45" t="inlineStr">
        <is>
          <t>• Insertion*/ sequence of information*
插入* / 信息序列*</t>
        </is>
      </c>
      <c r="F126" s="53" t="inlineStr">
        <is>
          <t>not applicable</t>
        </is>
      </c>
      <c r="G126" s="55" t="n"/>
      <c r="H126" s="47" t="n"/>
      <c r="I126" s="47" t="n"/>
      <c r="J126" s="49" t="n"/>
      <c r="K126" s="49" t="n"/>
      <c r="L126" s="49" t="n"/>
      <c r="M126" s="49" t="n"/>
    </row>
    <row r="127" outlineLevel="1" ht="48" customFormat="1" customHeight="1" s="36">
      <c r="A127" s="37">
        <f>A107&amp;"_"&amp;B127</f>
        <v/>
      </c>
      <c r="B127" s="42" t="n">
        <v>19</v>
      </c>
      <c r="C127" s="185" t="n"/>
      <c r="D127" s="185" t="n"/>
      <c r="E127" s="45" t="inlineStr">
        <is>
          <t>• Corruption of information*
信息的失真*</t>
        </is>
      </c>
      <c r="F127" s="53" t="inlineStr">
        <is>
          <t>not applicable</t>
        </is>
      </c>
      <c r="G127" s="55" t="n"/>
      <c r="H127" s="47" t="n"/>
      <c r="I127" s="47" t="n"/>
      <c r="J127" s="49" t="n"/>
      <c r="K127" s="49" t="n"/>
      <c r="L127" s="49" t="n"/>
      <c r="M127" s="49" t="n"/>
    </row>
    <row r="128" outlineLevel="1" ht="48" customFormat="1" customHeight="1" s="36">
      <c r="A128" s="37">
        <f>A107&amp;"_"&amp;B128</f>
        <v/>
      </c>
      <c r="B128" s="50" t="n">
        <v>20</v>
      </c>
      <c r="C128" s="185" t="n"/>
      <c r="D128" s="185" t="n"/>
      <c r="E128" s="45" t="inlineStr">
        <is>
          <t>• Asymmetric information sent from a sender to multiple receivers*
从发送者传向多个接收者的不对称信息*</t>
        </is>
      </c>
      <c r="F128" s="53" t="inlineStr">
        <is>
          <t>not applicable</t>
        </is>
      </c>
      <c r="G128" s="55" t="n"/>
      <c r="H128" s="47" t="n"/>
      <c r="I128" s="47" t="n"/>
      <c r="J128" s="49" t="n"/>
      <c r="K128" s="49" t="n"/>
      <c r="L128" s="49" t="n"/>
      <c r="M128" s="49" t="n"/>
    </row>
    <row r="129" outlineLevel="1" ht="48" customFormat="1" customHeight="1" s="36">
      <c r="A129" s="37">
        <f>A107&amp;"_"&amp;B129</f>
        <v/>
      </c>
      <c r="B129" s="42" t="n">
        <v>21</v>
      </c>
      <c r="C129" s="185" t="n"/>
      <c r="D129" s="185" t="n"/>
      <c r="E129" s="45" t="inlineStr">
        <is>
          <t>• Information from a sender received by only a subset of the receivers*
仅部分接收者接收到的来自发送者的信息*</t>
        </is>
      </c>
      <c r="F129" s="53" t="inlineStr">
        <is>
          <t>not applicable</t>
        </is>
      </c>
      <c r="G129" s="55" t="n"/>
      <c r="H129" s="47" t="n"/>
      <c r="I129" s="47" t="n"/>
      <c r="J129" s="49" t="n"/>
      <c r="K129" s="49" t="n"/>
      <c r="L129" s="49" t="n"/>
      <c r="M129" s="49" t="n"/>
    </row>
    <row r="130" outlineLevel="1" ht="43.5" customFormat="1" customHeight="1" s="36">
      <c r="A130" s="37">
        <f>A107&amp;"_"&amp;B130</f>
        <v/>
      </c>
      <c r="B130" s="50" t="n">
        <v>22</v>
      </c>
      <c r="C130" s="186" t="n"/>
      <c r="D130" s="186" t="n"/>
      <c r="E130" s="45" t="inlineStr">
        <is>
          <t>• Blocking access to a communication channel*
阻止对通信通道的访问*</t>
        </is>
      </c>
      <c r="F130" s="53" t="inlineStr">
        <is>
          <t>not applicable</t>
        </is>
      </c>
      <c r="G130" s="46" t="n"/>
      <c r="H130" s="47" t="n"/>
      <c r="I130" s="47" t="n"/>
      <c r="J130" s="48" t="n"/>
      <c r="K130" s="49" t="n"/>
      <c r="L130" s="49" t="n"/>
      <c r="M130" s="49" t="n"/>
    </row>
    <row r="131" outlineLevel="1" ht="45" customFormat="1" customHeight="1" s="36">
      <c r="A131" s="37">
        <f>A107&amp;"_"&amp;B131</f>
        <v/>
      </c>
      <c r="B131" s="42" t="n">
        <v>23</v>
      </c>
      <c r="C131" s="187" t="inlineStr">
        <is>
          <t>Shared information
inputs</t>
        </is>
      </c>
      <c r="D131" s="187" t="inlineStr">
        <is>
          <t>Same information consumed by the two functions even in absence of shared resources, i.e. from a functional perspective</t>
        </is>
      </c>
      <c r="E131" s="45" t="inlineStr">
        <is>
          <t>• Calibration parameters
标准参数</t>
        </is>
      </c>
      <c r="F131" s="53" t="inlineStr">
        <is>
          <t>not applicable</t>
        </is>
      </c>
      <c r="G131" s="55" t="n"/>
      <c r="H131" s="47" t="n"/>
      <c r="I131" s="47" t="n"/>
      <c r="J131" s="49" t="n"/>
      <c r="K131" s="49" t="n"/>
      <c r="L131" s="49" t="n"/>
      <c r="M131" s="49" t="n"/>
    </row>
    <row r="132" outlineLevel="1" ht="57" customFormat="1" customHeight="1" s="36">
      <c r="A132" s="37">
        <f>A107&amp;"_"&amp;B132</f>
        <v/>
      </c>
      <c r="B132" s="50" t="n">
        <v>24</v>
      </c>
      <c r="C132" s="185" t="n"/>
      <c r="D132" s="185" t="n"/>
      <c r="E132" s="45" t="inlineStr">
        <is>
          <t>• Constants, or variables, being global to the two software functions
常量或变量对于这两个软件功能而言是全局性的。</t>
        </is>
      </c>
      <c r="F132" s="53" t="inlineStr">
        <is>
          <t>not applicable</t>
        </is>
      </c>
      <c r="G132" s="55" t="n"/>
      <c r="H132" s="47" t="n"/>
      <c r="I132" s="47" t="n"/>
      <c r="J132" s="49" t="n"/>
      <c r="K132" s="49" t="n"/>
      <c r="L132" s="49" t="n"/>
      <c r="M132" s="49" t="n"/>
    </row>
    <row r="133" outlineLevel="1" ht="100" customFormat="1" customHeight="1" s="36">
      <c r="A133" s="37">
        <f>A107&amp;"_"&amp;B133</f>
        <v/>
      </c>
      <c r="B133" s="42" t="n">
        <v>25</v>
      </c>
      <c r="C133" s="185" t="n"/>
      <c r="D133" s="185" t="n"/>
      <c r="E133" s="45" t="inlineStr">
        <is>
          <t>• Basic software passes data (read from hardware register and converted into logical information) to two application software functions
基础软件会将数据（从硬件寄存器读取并转换为逻辑信息）传递给两个应用程序软件功能。</t>
        </is>
      </c>
      <c r="F133" s="53" t="inlineStr">
        <is>
          <t>not applicable</t>
        </is>
      </c>
      <c r="G133" s="55" t="n"/>
      <c r="H133" s="47" t="n"/>
      <c r="I133" s="47" t="n"/>
      <c r="J133" s="49" t="n"/>
      <c r="K133" s="49" t="n"/>
      <c r="L133" s="49" t="n"/>
      <c r="M133" s="49" t="n"/>
    </row>
    <row r="134" outlineLevel="1" ht="115.5" customFormat="1" customHeight="1" s="36">
      <c r="A134" s="37">
        <f>A107&amp;"_"&amp;B134</f>
        <v/>
      </c>
      <c r="B134" s="50" t="n">
        <v>26</v>
      </c>
      <c r="C134" s="186" t="n"/>
      <c r="D134" s="186" t="n"/>
      <c r="E134"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134" s="53" t="inlineStr">
        <is>
          <t>not applicable</t>
        </is>
      </c>
      <c r="G134" s="55" t="n"/>
      <c r="H134" s="47" t="n"/>
      <c r="I134" s="47" t="n"/>
      <c r="J134" s="49" t="n"/>
      <c r="K134" s="49" t="n"/>
      <c r="L134" s="49" t="n"/>
      <c r="M134" s="49" t="n"/>
    </row>
    <row r="135" outlineLevel="1" ht="68.5" customFormat="1" customHeight="1" s="36">
      <c r="A135" s="37">
        <f>A107&amp;"_"&amp;B135</f>
        <v/>
      </c>
      <c r="B135" s="42" t="n">
        <v>27</v>
      </c>
      <c r="C135" s="187" t="inlineStr">
        <is>
          <t>Environmental
influences</t>
        </is>
      </c>
      <c r="D135" s="184" t="inlineStr">
        <is>
          <t>Common external environmental disturbance affects both functions</t>
        </is>
      </c>
      <c r="E135" s="45" t="inlineStr">
        <is>
          <t xml:space="preserve">System-level: mechanical shock, water ingress
 系统层面：机械震动、进水                                                                                                                                                                </t>
        </is>
      </c>
      <c r="F135" s="53" t="inlineStr">
        <is>
          <t>not applicable</t>
        </is>
      </c>
      <c r="G135" s="55" t="n"/>
      <c r="H135" s="47" t="n"/>
      <c r="I135" s="47" t="n"/>
      <c r="J135" s="49" t="n"/>
      <c r="K135" s="49" t="n"/>
      <c r="L135" s="49" t="n"/>
      <c r="M135" s="49" t="n"/>
    </row>
    <row r="136" outlineLevel="1" ht="28.5" customFormat="1" customHeight="1" s="36">
      <c r="A136" s="37">
        <f>A107&amp;"_"&amp;B136</f>
        <v/>
      </c>
      <c r="B136" s="50" t="n">
        <v>28</v>
      </c>
      <c r="C136" s="185" t="n"/>
      <c r="D136" s="185" t="n"/>
      <c r="E136" s="45" t="inlineStr">
        <is>
          <t>Software-level: not applicable for Software
软件层面：不适用于软件</t>
        </is>
      </c>
      <c r="F136" s="53" t="inlineStr">
        <is>
          <t>not applicable</t>
        </is>
      </c>
      <c r="G136" s="55" t="n"/>
      <c r="H136" s="47" t="n"/>
      <c r="I136" s="47" t="n"/>
      <c r="J136" s="49" t="n"/>
      <c r="K136" s="49" t="n"/>
      <c r="L136" s="49" t="n"/>
      <c r="M136" s="49" t="n"/>
    </row>
    <row r="137" outlineLevel="1" ht="43" customFormat="1" customHeight="1" s="36">
      <c r="A137" s="37">
        <f>A107&amp;"_"&amp;B137</f>
        <v/>
      </c>
      <c r="B137" s="42" t="n">
        <v>29</v>
      </c>
      <c r="C137" s="186" t="n"/>
      <c r="D137" s="186" t="n"/>
      <c r="E137" s="45" t="inlineStr">
        <is>
          <t>Hardware-level: under and over voltage of the power supply        
硬件层面：电源的欠压和过压情况</t>
        </is>
      </c>
      <c r="F137" s="53" t="inlineStr">
        <is>
          <t>not applicable</t>
        </is>
      </c>
      <c r="G137" s="55" t="n"/>
      <c r="H137" s="47" t="n"/>
      <c r="I137" s="47" t="n"/>
      <c r="J137" s="49" t="n"/>
      <c r="K137" s="49" t="n"/>
      <c r="L137" s="49" t="n"/>
      <c r="M137" s="49" t="n"/>
    </row>
    <row r="138" outlineLevel="1" ht="72.5" customFormat="1" customHeight="1" s="36">
      <c r="A138" s="37">
        <f>A107&amp;"_"&amp;B138</f>
        <v/>
      </c>
      <c r="B138" s="50" t="n">
        <v>30</v>
      </c>
      <c r="C138" s="187" t="inlineStr">
        <is>
          <t>Unintended impact</t>
        </is>
      </c>
      <c r="D138" s="187" t="inlineStr">
        <is>
          <t>Two functions affecting each other’s elements directly via an implicit, that is unintended interface.</t>
        </is>
      </c>
      <c r="E138" s="45" t="inlineStr">
        <is>
          <t>• Memory / corruption of content*
– “wild pointers“ (including program counter stack)
内存/内容损坏*
——“失控指针”（包括程序计数器栈</t>
        </is>
      </c>
      <c r="F138" s="45" t="inlineStr">
        <is>
          <t xml:space="preserve">Yes </t>
        </is>
      </c>
      <c r="G138" s="46" t="inlineStr">
        <is>
          <t>ADC模块失效后，导致电源管理失效，会导致制动灯转向灯倒车灯识别异常电压关闭，违背安全目标SG1,SG2.SG3</t>
        </is>
      </c>
      <c r="H138" s="47" t="inlineStr">
        <is>
          <t xml:space="preserve">1：支持硬线制动灯点亮：
</t>
        </is>
      </c>
      <c r="I138" s="47" t="inlineStr">
        <is>
          <t>SW_DFA_SM_001</t>
        </is>
      </c>
      <c r="J138" s="48" t="inlineStr">
        <is>
          <t>通过集成测试</t>
        </is>
      </c>
      <c r="K138" s="49" t="inlineStr">
        <is>
          <t>满足ASILB开发和测试</t>
        </is>
      </c>
      <c r="L138" s="49" t="n"/>
      <c r="M138" s="49" t="n"/>
    </row>
    <row r="139" outlineLevel="1" ht="56" customFormat="1" customHeight="1" s="36">
      <c r="A139" s="37">
        <f>A107&amp;"_"&amp;B139</f>
        <v/>
      </c>
      <c r="B139" s="42" t="n">
        <v>31</v>
      </c>
      <c r="C139" s="185" t="n"/>
      <c r="D139" s="185" t="n"/>
      <c r="E139" s="45" t="inlineStr">
        <is>
          <t>– memory mis-allocation
——内存分配错误</t>
        </is>
      </c>
      <c r="F139" s="45" t="inlineStr">
        <is>
          <t xml:space="preserve">Yes </t>
        </is>
      </c>
      <c r="G139" s="46" t="inlineStr">
        <is>
          <t>ADC模块失效后，导致电源管理失效，会导致制动灯转向灯倒车灯识别异常电压关闭，违背安全目标SG1,SG2.SG3</t>
        </is>
      </c>
      <c r="H139" s="47" t="inlineStr">
        <is>
          <t xml:space="preserve">1：支持硬线制动灯点亮：
</t>
        </is>
      </c>
      <c r="I139" s="47" t="inlineStr">
        <is>
          <t>SW_DFA_SM_001</t>
        </is>
      </c>
      <c r="J139" s="48" t="inlineStr">
        <is>
          <t>通过集成测试</t>
        </is>
      </c>
      <c r="K139" s="49" t="inlineStr">
        <is>
          <t>满足ASILB开发和测试</t>
        </is>
      </c>
      <c r="L139" s="49" t="n"/>
      <c r="M139" s="49" t="n"/>
    </row>
    <row r="140" outlineLevel="1" ht="56" customFormat="1" customHeight="1" s="36">
      <c r="A140" s="37">
        <f>A107&amp;"_"&amp;B140</f>
        <v/>
      </c>
      <c r="B140" s="50" t="n">
        <v>32</v>
      </c>
      <c r="C140" s="185" t="n"/>
      <c r="D140" s="185" t="n"/>
      <c r="E140" s="45" t="inlineStr">
        <is>
          <t>– memory leaks
内存泄漏</t>
        </is>
      </c>
      <c r="F140" s="45" t="inlineStr">
        <is>
          <t xml:space="preserve">Yes </t>
        </is>
      </c>
      <c r="G140" s="46" t="inlineStr">
        <is>
          <t>ADC模块失效后，导致电源管理失效，会导致制动灯转向灯倒车灯识别异常电压关闭，违背安全目标SG1,SG2.SG3</t>
        </is>
      </c>
      <c r="H140" s="47" t="inlineStr">
        <is>
          <t xml:space="preserve">1：支持硬线制动灯点亮：
</t>
        </is>
      </c>
      <c r="I140" s="47" t="inlineStr">
        <is>
          <t>SW_DFA_SM_001</t>
        </is>
      </c>
      <c r="J140" s="48" t="inlineStr">
        <is>
          <t>通过集成测试</t>
        </is>
      </c>
      <c r="K140" s="49" t="inlineStr">
        <is>
          <t>满足ASILB开发和测试</t>
        </is>
      </c>
      <c r="L140" s="49" t="n"/>
      <c r="M140" s="49" t="n"/>
    </row>
    <row r="141" outlineLevel="1" ht="58" customFormat="1" customHeight="1" s="36">
      <c r="A141" s="37">
        <f>A107&amp;"_"&amp;B141</f>
        <v/>
      </c>
      <c r="B141" s="42" t="n">
        <v>33</v>
      </c>
      <c r="C141" s="185" t="n"/>
      <c r="D141" s="185" t="n"/>
      <c r="E141" s="45" t="inlineStr">
        <is>
          <t>– read/write access to memory allocated to another software element*
—— 对分配给其他软件组件的内存的读/写访问权限*</t>
        </is>
      </c>
      <c r="F141" s="53" t="inlineStr">
        <is>
          <t>not applicable</t>
        </is>
      </c>
      <c r="G141" s="55" t="n"/>
      <c r="H141" s="47" t="n"/>
      <c r="I141" s="47" t="n"/>
      <c r="J141" s="49" t="n"/>
      <c r="K141" s="49" t="n"/>
      <c r="L141" s="49" t="n"/>
      <c r="M141" s="49" t="n"/>
    </row>
    <row r="142" outlineLevel="1" ht="56" customFormat="1" customHeight="1" s="36">
      <c r="A142" s="37">
        <f>A107&amp;"_"&amp;B142</f>
        <v/>
      </c>
      <c r="B142" s="50" t="n">
        <v>34</v>
      </c>
      <c r="C142" s="185" t="n"/>
      <c r="D142" s="185" t="n"/>
      <c r="E142" s="45" t="inlineStr">
        <is>
          <t>– buffer under-/overflow
– 缓冲区下溢/上溢</t>
        </is>
      </c>
      <c r="F142" s="45" t="inlineStr">
        <is>
          <t xml:space="preserve">Yes </t>
        </is>
      </c>
      <c r="G142" s="46" t="inlineStr">
        <is>
          <t>ADC模块数据溢出后，导致电源管理失效，会导致制动灯转向灯倒车灯识别异常电压关闭，违背安全目标SG1,SG2.SG3</t>
        </is>
      </c>
      <c r="H142" s="47" t="inlineStr">
        <is>
          <t xml:space="preserve">1：支持硬线制动灯点亮：
</t>
        </is>
      </c>
      <c r="I142" s="47" t="inlineStr">
        <is>
          <t>SW_DFA_SM_001</t>
        </is>
      </c>
      <c r="J142" s="48" t="inlineStr">
        <is>
          <t>通过集成测试</t>
        </is>
      </c>
      <c r="K142" s="49" t="inlineStr">
        <is>
          <t>满足ASILB开发和测试</t>
        </is>
      </c>
      <c r="L142" s="49" t="n"/>
      <c r="M142" s="49" t="n"/>
    </row>
    <row r="143" outlineLevel="1" ht="57.5" customFormat="1" customHeight="1" s="36">
      <c r="A143" s="37">
        <f>A107&amp;"_"&amp;B143</f>
        <v/>
      </c>
      <c r="B143" s="42" t="n">
        <v>35</v>
      </c>
      <c r="C143" s="185" t="n"/>
      <c r="D143" s="185" t="n"/>
      <c r="E143" s="45" t="inlineStr">
        <is>
          <t>• Timing and execution
– deadlocks*
时机与执行
——死锁*</t>
        </is>
      </c>
      <c r="F143" s="45" t="inlineStr">
        <is>
          <t xml:space="preserve">Yes </t>
        </is>
      </c>
      <c r="G143" s="46" t="inlineStr">
        <is>
          <t>ADC模块失效后，导致电源管理失效，会导致制动灯转向灯倒车灯识别异常电压关闭，违背安全目标SG1,SG2.SG3</t>
        </is>
      </c>
      <c r="H143" s="47" t="inlineStr">
        <is>
          <t xml:space="preserve">1：支持硬线制动灯点亮：
</t>
        </is>
      </c>
      <c r="I143" s="47" t="inlineStr">
        <is>
          <t>SW_DFA_SM_001</t>
        </is>
      </c>
      <c r="J143" s="48" t="inlineStr">
        <is>
          <t>通过集成测试</t>
        </is>
      </c>
      <c r="K143" s="49" t="inlineStr">
        <is>
          <t>满足ASILB开发和测试</t>
        </is>
      </c>
      <c r="L143" s="49" t="n"/>
      <c r="M143" s="49" t="n"/>
    </row>
    <row r="144" outlineLevel="1" ht="28.5" customFormat="1" customHeight="1" s="36">
      <c r="A144" s="37">
        <f>A107&amp;"_"&amp;B144</f>
        <v/>
      </c>
      <c r="B144" s="50" t="n">
        <v>36</v>
      </c>
      <c r="C144" s="185" t="n"/>
      <c r="D144" s="185" t="n"/>
      <c r="E144" s="45" t="inlineStr">
        <is>
          <t>– livelocks*
活锁</t>
        </is>
      </c>
      <c r="F144" s="53" t="inlineStr">
        <is>
          <t>not applicable</t>
        </is>
      </c>
      <c r="G144" s="55" t="n"/>
      <c r="H144" s="47" t="n"/>
      <c r="I144" s="47" t="n"/>
      <c r="J144" s="49" t="n"/>
      <c r="K144" s="49" t="n"/>
      <c r="L144" s="49" t="n"/>
      <c r="M144" s="49" t="n"/>
    </row>
    <row r="145" outlineLevel="1" ht="70" customFormat="1" customHeight="1" s="36">
      <c r="A145" s="37">
        <f>A107&amp;"_"&amp;B145</f>
        <v/>
      </c>
      <c r="B145" s="42" t="n">
        <v>37</v>
      </c>
      <c r="C145" s="185" t="n"/>
      <c r="D145" s="185" t="n"/>
      <c r="E145" s="45" t="inlineStr">
        <is>
          <t>– incorrect allocation of execution time*
——执行时间分配不当*</t>
        </is>
      </c>
      <c r="F145" s="45" t="inlineStr">
        <is>
          <t xml:space="preserve">Yes </t>
        </is>
      </c>
      <c r="G145" s="46" t="inlineStr">
        <is>
          <t>ADC模块执行时间被抢占导致无法实时获取AD值，会导致电源管理失效，会导致制动灯转向灯倒车灯识别异常电压关闭，违背安全目标SG1,SG2.SG3</t>
        </is>
      </c>
      <c r="H145" s="47" t="inlineStr">
        <is>
          <t xml:space="preserve">1：支持硬线制动灯点亮：
</t>
        </is>
      </c>
      <c r="I145" s="47" t="inlineStr">
        <is>
          <t>SW_DFA_SM_001</t>
        </is>
      </c>
      <c r="J145" s="48" t="inlineStr">
        <is>
          <t>通过集成测试</t>
        </is>
      </c>
      <c r="K145" s="49" t="inlineStr">
        <is>
          <t>满足ASILB开发和测试</t>
        </is>
      </c>
      <c r="L145" s="49" t="n"/>
      <c r="M145" s="49" t="n"/>
    </row>
    <row r="146" outlineLevel="1" ht="43.5" customFormat="1" customHeight="1" s="36">
      <c r="A146" s="37">
        <f>A107&amp;"_"&amp;B146</f>
        <v/>
      </c>
      <c r="B146" s="50" t="n">
        <v>38</v>
      </c>
      <c r="C146" s="186" t="n"/>
      <c r="D146" s="186" t="n"/>
      <c r="E146" s="45" t="inlineStr">
        <is>
          <t>– incorrect synchronization between software elements*
——软件各组成部分之间的同步不正确*</t>
        </is>
      </c>
      <c r="F146" s="53" t="inlineStr">
        <is>
          <t>not applicable</t>
        </is>
      </c>
      <c r="G146" s="46" t="n"/>
      <c r="H146" s="47" t="n"/>
      <c r="I146" s="47" t="n"/>
      <c r="J146" s="48" t="n"/>
      <c r="K146" s="49" t="n"/>
      <c r="L146" s="49" t="n"/>
      <c r="M146" s="49" t="n"/>
    </row>
    <row r="147" outlineLevel="1" ht="72" customFormat="1" customHeight="1" s="36">
      <c r="A147" s="37">
        <f>A107&amp;"_"&amp;B147</f>
        <v/>
      </c>
      <c r="B147" s="42" t="n">
        <v>39</v>
      </c>
      <c r="C147" s="187" t="inlineStr">
        <is>
          <t>Systematic coupling</t>
        </is>
      </c>
      <c r="D147" s="187" t="inlineStr">
        <is>
          <t>Systematic causes from human or tool errors can lead to the simultaneous failure of more than one function</t>
        </is>
      </c>
      <c r="E147" s="45" t="inlineStr">
        <is>
          <t>• Manufacturing fault / repair fault (e.g. false flashing, false calibration reference for sensors)
制造故障/维修故障（例如：错误的闪烁现象、传感器的错误校准参考值）</t>
        </is>
      </c>
      <c r="F147" s="53" t="inlineStr">
        <is>
          <t>not applicable</t>
        </is>
      </c>
      <c r="G147" s="55" t="n"/>
      <c r="H147" s="47" t="n"/>
      <c r="I147" s="47" t="n"/>
      <c r="J147" s="49" t="n"/>
      <c r="K147" s="49" t="n"/>
      <c r="L147" s="49" t="n"/>
      <c r="M147" s="49" t="n"/>
    </row>
    <row r="148" outlineLevel="1" ht="115.5" customFormat="1" customHeight="1" s="36">
      <c r="A148" s="37">
        <f>A107&amp;"_"&amp;B148</f>
        <v/>
      </c>
      <c r="B148" s="50" t="n">
        <v>40</v>
      </c>
      <c r="C148" s="185" t="n"/>
      <c r="D148" s="185" t="n"/>
      <c r="E148" s="61" t="inlineStr">
        <is>
          <t xml:space="preserve">• Non-diverse development approaches including:
– same software tools (e.g. IDE, compiler, linker)
非多元化的发展方式包括：
——相同的软件工具（例如集成开发环境、编译器、链接器）
</t>
        </is>
      </c>
      <c r="F148" s="45" t="inlineStr">
        <is>
          <t xml:space="preserve">Yes </t>
        </is>
      </c>
      <c r="G148" s="62" t="inlineStr">
        <is>
          <t>代码异常导致的违背安全目标</t>
        </is>
      </c>
      <c r="H148" s="63" t="inlineStr">
        <is>
          <t>工具鉴定</t>
        </is>
      </c>
      <c r="I148" s="63" t="n"/>
      <c r="J148" s="49" t="inlineStr">
        <is>
          <t>通过集成测试</t>
        </is>
      </c>
      <c r="K148" s="68" t="inlineStr">
        <is>
          <t>满足ASILB开发和测试</t>
        </is>
      </c>
      <c r="L148" s="68" t="n"/>
      <c r="M148" s="49" t="n"/>
    </row>
    <row r="149" outlineLevel="1" ht="28.5" customFormat="1" customHeight="1" s="36">
      <c r="A149" s="37">
        <f>A107&amp;"_"&amp;B149</f>
        <v/>
      </c>
      <c r="B149" s="42" t="n">
        <v>41</v>
      </c>
      <c r="C149" s="185" t="n"/>
      <c r="D149" s="185" t="n"/>
      <c r="E149" s="61" t="inlineStr">
        <is>
          <t>– same algorithms
相同的算法</t>
        </is>
      </c>
      <c r="F149" s="53" t="inlineStr">
        <is>
          <t>not applicable</t>
        </is>
      </c>
      <c r="G149" s="55" t="n"/>
      <c r="H149" s="47" t="n"/>
      <c r="I149" s="47" t="n"/>
      <c r="J149" s="49" t="n"/>
      <c r="K149" s="49" t="n"/>
      <c r="L149" s="49" t="n"/>
      <c r="M149" s="49" t="n"/>
    </row>
    <row r="150" outlineLevel="1" ht="43.5" customFormat="1" customHeight="1" s="36">
      <c r="A150" s="37">
        <f>A107&amp;"_"&amp;B150</f>
        <v/>
      </c>
      <c r="B150" s="50" t="n">
        <v>42</v>
      </c>
      <c r="C150" s="185" t="n"/>
      <c r="D150" s="185" t="n"/>
      <c r="E150" s="61" t="inlineStr">
        <is>
          <t>– same programming and/or modelling language used
所使用的编程和/或建模语言相同</t>
        </is>
      </c>
      <c r="F150" s="45" t="inlineStr">
        <is>
          <t xml:space="preserve">Yes </t>
        </is>
      </c>
      <c r="G150" s="62" t="inlineStr">
        <is>
          <t>代码异常导致的违背安全目标</t>
        </is>
      </c>
      <c r="H150" s="63" t="inlineStr">
        <is>
          <t>工具鉴定</t>
        </is>
      </c>
      <c r="I150" s="47" t="n"/>
      <c r="J150" s="49" t="inlineStr">
        <is>
          <t>通过集成测试</t>
        </is>
      </c>
      <c r="K150" s="49" t="inlineStr">
        <is>
          <t>满足ASILB开发和测试</t>
        </is>
      </c>
      <c r="L150" s="49" t="n"/>
      <c r="M150" s="49" t="n"/>
    </row>
    <row r="151" outlineLevel="1" ht="29" customFormat="1" customHeight="1" s="36">
      <c r="A151" s="37">
        <f>A107&amp;"_"&amp;B151</f>
        <v/>
      </c>
      <c r="B151" s="42" t="n">
        <v>43</v>
      </c>
      <c r="C151" s="185" t="n"/>
      <c r="D151" s="185" t="n"/>
      <c r="E151" s="61" t="inlineStr">
        <is>
          <t>– same complier/linker used
使用的是相同的编译器/链接器</t>
        </is>
      </c>
      <c r="F151" s="45" t="inlineStr">
        <is>
          <t xml:space="preserve">Yes </t>
        </is>
      </c>
      <c r="G151" s="62" t="inlineStr">
        <is>
          <t>代码异常导致的违背安全目标</t>
        </is>
      </c>
      <c r="H151" s="63" t="inlineStr">
        <is>
          <t>工具鉴定</t>
        </is>
      </c>
      <c r="I151" s="47" t="n"/>
      <c r="J151" s="49" t="inlineStr">
        <is>
          <t>通过集成测试</t>
        </is>
      </c>
      <c r="K151" s="49" t="inlineStr">
        <is>
          <t>满足ASILB开发和测试</t>
        </is>
      </c>
      <c r="L151" s="49" t="n"/>
      <c r="M151" s="49" t="n"/>
    </row>
    <row r="152" outlineLevel="1" ht="28.5" customFormat="1" customHeight="1" s="36">
      <c r="A152" s="37">
        <f>A107&amp;"_"&amp;B152</f>
        <v/>
      </c>
      <c r="B152" s="50" t="n">
        <v>44</v>
      </c>
      <c r="C152" s="185" t="n"/>
      <c r="D152" s="185" t="n"/>
      <c r="E152" s="45" t="inlineStr">
        <is>
          <t>• Same personnel
相同人员</t>
        </is>
      </c>
      <c r="F152" s="53" t="inlineStr">
        <is>
          <t>not applicable</t>
        </is>
      </c>
      <c r="G152" s="55" t="n"/>
      <c r="H152" s="47" t="n"/>
      <c r="I152" s="47" t="n"/>
      <c r="J152" s="49" t="n"/>
      <c r="K152" s="49" t="n"/>
      <c r="L152" s="49" t="n"/>
      <c r="M152" s="49" t="n"/>
    </row>
    <row r="153" outlineLevel="1" ht="57" customFormat="1" customHeight="1" s="36">
      <c r="A153" s="37">
        <f>A107&amp;"_"&amp;B153</f>
        <v/>
      </c>
      <c r="B153" s="42" t="n">
        <v>45</v>
      </c>
      <c r="C153" s="185" t="n"/>
      <c r="D153" s="185" t="n"/>
      <c r="E153" s="45" t="inlineStr">
        <is>
          <t>• Same social-cultural context (even if different personnel)
相同的社会文化背景（即便人员有所不同）</t>
        </is>
      </c>
      <c r="F153" s="53" t="inlineStr">
        <is>
          <t>not applicable</t>
        </is>
      </c>
      <c r="G153" s="55" t="n"/>
      <c r="H153" s="47" t="n"/>
      <c r="I153" s="47" t="n"/>
      <c r="J153" s="49" t="n"/>
      <c r="K153" s="49" t="n"/>
      <c r="L153" s="49" t="n"/>
      <c r="M153" s="49" t="n"/>
    </row>
    <row r="154" outlineLevel="1" ht="57.5" customFormat="1" customHeight="1" s="36">
      <c r="A154" s="37">
        <f>A107&amp;"_"&amp;B154</f>
        <v/>
      </c>
      <c r="B154" s="50" t="n">
        <v>46</v>
      </c>
      <c r="C154" s="185" t="n"/>
      <c r="D154" s="185" t="n"/>
      <c r="E154" s="45" t="inlineStr">
        <is>
          <t>• Development fault, e.g.
– human error
开发失误，例如：
– 人为错误</t>
        </is>
      </c>
      <c r="F154" s="53" t="inlineStr">
        <is>
          <t>not applicable</t>
        </is>
      </c>
      <c r="G154" s="55" t="n"/>
      <c r="H154" s="47" t="n"/>
      <c r="I154" s="47" t="n"/>
      <c r="J154" s="49" t="n"/>
      <c r="K154" s="49" t="n"/>
      <c r="L154" s="49" t="n"/>
      <c r="M154" s="49" t="n"/>
    </row>
    <row r="155" outlineLevel="1" ht="28.5" customFormat="1" customHeight="1" s="36">
      <c r="A155" s="37">
        <f>A107&amp;"_"&amp;B155</f>
        <v/>
      </c>
      <c r="B155" s="42" t="n">
        <v>47</v>
      </c>
      <c r="C155" s="185" t="n"/>
      <c r="D155" s="185" t="n"/>
      <c r="E155" s="45" t="inlineStr">
        <is>
          <t>– insufficiently qualified personnel
资质不足的人员</t>
        </is>
      </c>
      <c r="F155" s="53" t="inlineStr">
        <is>
          <t>not applicable</t>
        </is>
      </c>
      <c r="G155" s="55" t="n"/>
      <c r="H155" s="47" t="n"/>
      <c r="I155" s="47" t="n"/>
      <c r="J155" s="49" t="n"/>
      <c r="K155" s="49" t="n"/>
      <c r="L155" s="49" t="n"/>
      <c r="M155" s="49" t="n"/>
    </row>
    <row r="156" outlineLevel="1" ht="28.5" customFormat="1" customHeight="1" s="36">
      <c r="A156" s="37">
        <f>A107&amp;"_"&amp;B156</f>
        <v/>
      </c>
      <c r="B156" s="50" t="n">
        <v>48</v>
      </c>
      <c r="C156" s="185" t="n"/>
      <c r="D156" s="185" t="n"/>
      <c r="E156" s="45" t="inlineStr">
        <is>
          <t>– process weaknesses
处理弱点</t>
        </is>
      </c>
      <c r="F156" s="53" t="inlineStr">
        <is>
          <t>not applicable</t>
        </is>
      </c>
      <c r="G156" s="55" t="n"/>
      <c r="H156" s="47" t="n"/>
      <c r="I156" s="47" t="n"/>
      <c r="J156" s="49" t="n"/>
      <c r="K156" s="49" t="n"/>
      <c r="L156" s="49" t="n"/>
      <c r="M156" s="49" t="n"/>
    </row>
    <row r="157" outlineLevel="1" ht="14.5" customFormat="1" customHeight="1" s="36">
      <c r="A157" s="37">
        <f>A107&amp;"_"&amp;B157</f>
        <v/>
      </c>
      <c r="B157" s="42" t="n">
        <v>49</v>
      </c>
      <c r="C157" s="186" t="n"/>
      <c r="D157" s="186" t="n"/>
      <c r="E157" s="45" t="inlineStr">
        <is>
          <t>– insufficient methods方法不足</t>
        </is>
      </c>
      <c r="F157" s="53" t="inlineStr">
        <is>
          <t>not applicable</t>
        </is>
      </c>
      <c r="G157" s="55" t="n"/>
      <c r="H157" s="47" t="n"/>
      <c r="I157" s="47" t="n"/>
      <c r="J157" s="49" t="n"/>
      <c r="K157" s="49" t="n"/>
      <c r="L157" s="49" t="n"/>
      <c r="M157" s="49" t="n"/>
    </row>
    <row r="158" ht="75" customFormat="1" customHeight="1" s="36">
      <c r="A158" s="67">
        <f>'Top Event'!B7</f>
        <v/>
      </c>
      <c r="B158" s="67" t="n"/>
      <c r="C158" s="67">
        <f>'Top Event'!C7</f>
        <v/>
      </c>
      <c r="D158" s="67">
        <f>'Top Event'!D7</f>
        <v/>
      </c>
      <c r="E158" s="67">
        <f>'Top Event'!E7</f>
        <v/>
      </c>
      <c r="F158" s="66" t="n"/>
      <c r="G158" s="66" t="n"/>
      <c r="H158" s="64" t="n"/>
      <c r="I158" s="64" t="n"/>
      <c r="J158" s="36" t="n"/>
      <c r="K158" s="36" t="n"/>
      <c r="L158" s="36" t="n"/>
      <c r="M158" s="36" t="n"/>
    </row>
    <row r="159" ht="37.25" customFormat="1" customHeight="1" s="36">
      <c r="A159" s="37" t="n"/>
      <c r="B159" s="37" t="n"/>
      <c r="C159" s="38" t="inlineStr">
        <is>
          <t>DF-I Category</t>
        </is>
      </c>
      <c r="D159" s="38" t="inlineStr">
        <is>
          <t>Interpretation</t>
        </is>
      </c>
      <c r="E159" s="38" t="inlineStr">
        <is>
          <t>DF-Initiator Examples</t>
        </is>
      </c>
      <c r="F159" s="38" t="inlineStr">
        <is>
          <t>Applicable?</t>
        </is>
      </c>
      <c r="G159" s="38" t="inlineStr">
        <is>
          <t>safety  goal related</t>
        </is>
      </c>
      <c r="H159" s="39" t="inlineStr">
        <is>
          <t>Counter Measure</t>
        </is>
      </c>
      <c r="I159" s="39" t="inlineStr">
        <is>
          <t>Counter Measure ID</t>
        </is>
      </c>
      <c r="J159" s="38" t="inlineStr">
        <is>
          <t>Evidence</t>
        </is>
      </c>
      <c r="K159" s="38" t="inlineStr">
        <is>
          <t>sufficient?</t>
        </is>
      </c>
      <c r="L159" s="38" t="n"/>
      <c r="M159" s="41" t="inlineStr">
        <is>
          <t>Comment</t>
        </is>
      </c>
    </row>
    <row r="160" outlineLevel="1" ht="86" customFormat="1" customHeight="1" s="36">
      <c r="A160" s="37">
        <f>A158&amp;"_"&amp;B160</f>
        <v/>
      </c>
      <c r="B160" s="42" t="n">
        <v>1</v>
      </c>
      <c r="C160" s="183" t="inlineStr">
        <is>
          <t>Shared resource</t>
        </is>
      </c>
      <c r="D160" s="184" t="inlineStr">
        <is>
          <t>The same software, hardware, or system element instance used by the two elements which are therefore affected by the failure or unavailability of that shared resource, i.e. from a physical perspective.</t>
        </is>
      </c>
      <c r="E160" s="45" t="inlineStr">
        <is>
          <t>Software component used by more than one other software component, e.g.
– reused standard software modules
被多个其他软件组件所使用的软件组件，例如：
– 重复使用的标准软件模块</t>
        </is>
      </c>
      <c r="F160" s="45" t="inlineStr">
        <is>
          <t xml:space="preserve">Yes </t>
        </is>
      </c>
      <c r="G160" s="46" t="inlineStr">
        <is>
          <t>GPIO模块失效后会导致无法检测制动灯硬线且无法检测制动灯故障</t>
        </is>
      </c>
      <c r="H160" s="47" t="inlineStr">
        <is>
          <t xml:space="preserve">1：支持硬线制动灯点亮：
</t>
        </is>
      </c>
      <c r="I160" s="47" t="inlineStr">
        <is>
          <t>SW_DFA_SM_001</t>
        </is>
      </c>
      <c r="J160" s="48" t="inlineStr">
        <is>
          <t>通过集成测试</t>
        </is>
      </c>
      <c r="K160" s="49" t="inlineStr">
        <is>
          <t>满足ASILB开发和测试</t>
        </is>
      </c>
      <c r="L160" s="49" t="n"/>
      <c r="M160" s="49" t="n"/>
    </row>
    <row r="161" outlineLevel="1" ht="28.5" customFormat="1" customHeight="1" s="36">
      <c r="A161" s="37">
        <f>A158&amp;"_"&amp;B161</f>
        <v/>
      </c>
      <c r="B161" s="50" t="n">
        <v>2</v>
      </c>
      <c r="C161" s="185" t="n"/>
      <c r="D161" s="185" t="n"/>
      <c r="E161" s="45" t="inlineStr">
        <is>
          <t>– libraries
库</t>
        </is>
      </c>
      <c r="F161" s="53" t="inlineStr">
        <is>
          <t>not applicable</t>
        </is>
      </c>
      <c r="G161" s="55" t="n"/>
      <c r="H161" s="47" t="n"/>
      <c r="I161" s="47" t="n"/>
      <c r="J161" s="49" t="n"/>
      <c r="K161" s="49" t="n"/>
      <c r="L161" s="49" t="n"/>
      <c r="M161" s="49" t="n"/>
    </row>
    <row r="162" outlineLevel="1" ht="28.5" customFormat="1" customHeight="1" s="36">
      <c r="A162" s="37">
        <f>A158&amp;"_"&amp;B162</f>
        <v/>
      </c>
      <c r="B162" s="42" t="n">
        <v>3</v>
      </c>
      <c r="C162" s="185" t="n"/>
      <c r="D162" s="185" t="n"/>
      <c r="E162" s="45" t="inlineStr">
        <is>
          <t>– middleware
中间件</t>
        </is>
      </c>
      <c r="F162" s="53" t="inlineStr">
        <is>
          <t>not applicable</t>
        </is>
      </c>
      <c r="G162" s="55" t="n"/>
      <c r="H162" s="47" t="n"/>
      <c r="I162" s="47" t="n"/>
      <c r="J162" s="49" t="n"/>
      <c r="K162" s="49" t="n"/>
      <c r="L162" s="49" t="n"/>
      <c r="M162" s="49" t="n"/>
    </row>
    <row r="163" outlineLevel="1" ht="42" customFormat="1" customHeight="1" s="36">
      <c r="A163" s="37">
        <f>A158&amp;"_"&amp;B163</f>
        <v/>
      </c>
      <c r="B163" s="50" t="n">
        <v>4</v>
      </c>
      <c r="C163" s="185" t="n"/>
      <c r="D163" s="185" t="n"/>
      <c r="E163" s="45" t="inlineStr">
        <is>
          <t>– basic software
基本软件</t>
        </is>
      </c>
      <c r="F163" s="45" t="inlineStr">
        <is>
          <t xml:space="preserve">Yes </t>
        </is>
      </c>
      <c r="G163" s="46" t="inlineStr">
        <is>
          <t>GPIO模块失效后会导致无法检测制动灯硬线且无法检测制动灯故障</t>
        </is>
      </c>
      <c r="H163" s="47" t="inlineStr">
        <is>
          <t xml:space="preserve">1：支持硬线制动灯点亮：
</t>
        </is>
      </c>
      <c r="I163" s="47" t="inlineStr">
        <is>
          <t>SW_DFA_SM_001</t>
        </is>
      </c>
      <c r="J163" s="48" t="inlineStr">
        <is>
          <t>通过集成测试</t>
        </is>
      </c>
      <c r="K163" s="49" t="inlineStr">
        <is>
          <t>满足ASILB开发和测试</t>
        </is>
      </c>
      <c r="L163" s="49" t="n"/>
      <c r="M163" s="49" t="n"/>
    </row>
    <row r="164" outlineLevel="1" ht="43.5" customFormat="1" customHeight="1" s="36">
      <c r="A164" s="37">
        <f>A158&amp;"_"&amp;B164</f>
        <v/>
      </c>
      <c r="B164" s="42" t="n">
        <v>5</v>
      </c>
      <c r="C164" s="185" t="n"/>
      <c r="D164" s="185" t="n"/>
      <c r="E164" s="45" t="inlineStr">
        <is>
          <t xml:space="preserve">– operating system including scheduler
——包含调度器的操作系统
</t>
        </is>
      </c>
      <c r="F164" s="53" t="inlineStr">
        <is>
          <t>not applicable</t>
        </is>
      </c>
      <c r="G164" s="55" t="n"/>
      <c r="H164" s="47" t="n"/>
      <c r="I164" s="47" t="n"/>
      <c r="J164" s="49" t="n"/>
      <c r="K164" s="49" t="n"/>
      <c r="L164" s="49" t="n"/>
      <c r="M164" s="49" t="n"/>
    </row>
    <row r="165" outlineLevel="1" ht="28.5" customFormat="1" customHeight="1" s="36">
      <c r="A165" s="37">
        <f>A158&amp;"_"&amp;B165</f>
        <v/>
      </c>
      <c r="B165" s="50" t="n">
        <v>6</v>
      </c>
      <c r="C165" s="185" t="n"/>
      <c r="D165" s="185" t="n"/>
      <c r="E165" s="45" t="inlineStr">
        <is>
          <t>– communication stack
通信协议栈</t>
        </is>
      </c>
      <c r="F165" s="53" t="inlineStr">
        <is>
          <t>not applicable</t>
        </is>
      </c>
      <c r="G165" s="46" t="n"/>
      <c r="H165" s="47" t="n"/>
      <c r="I165" s="47" t="n"/>
      <c r="J165" s="48" t="n"/>
      <c r="K165" s="49" t="n"/>
      <c r="L165" s="49" t="n"/>
      <c r="M165" s="49" t="n"/>
    </row>
    <row r="166" outlineLevel="1" ht="29" customFormat="1" customHeight="1" s="36">
      <c r="A166" s="37">
        <f>A158&amp;"_"&amp;B166</f>
        <v/>
      </c>
      <c r="B166" s="42" t="n">
        <v>7</v>
      </c>
      <c r="C166" s="185" t="n"/>
      <c r="D166" s="185" t="n"/>
      <c r="E166" s="45" t="inlineStr">
        <is>
          <t xml:space="preserve">– parameter file参数文件
</t>
        </is>
      </c>
      <c r="F166" s="53" t="inlineStr">
        <is>
          <t>not applicable</t>
        </is>
      </c>
      <c r="G166" s="55" t="n"/>
      <c r="H166" s="47" t="n"/>
      <c r="I166" s="47" t="n"/>
      <c r="J166" s="49" t="n"/>
      <c r="K166" s="49" t="n"/>
      <c r="L166" s="49" t="n"/>
      <c r="M166" s="49" t="n"/>
    </row>
    <row r="167" outlineLevel="1" ht="28.5" customFormat="1" customHeight="1" s="36">
      <c r="A167" s="37">
        <f>A158&amp;"_"&amp;B167</f>
        <v/>
      </c>
      <c r="B167" s="50" t="n">
        <v>8</v>
      </c>
      <c r="C167" s="185" t="n"/>
      <c r="D167" s="185" t="n"/>
      <c r="E167" s="45" t="inlineStr">
        <is>
          <t>– execution time
执行时间</t>
        </is>
      </c>
      <c r="F167" s="53" t="inlineStr">
        <is>
          <t>not applicable</t>
        </is>
      </c>
      <c r="G167" s="55" t="n"/>
      <c r="H167" s="47" t="n"/>
      <c r="I167" s="47" t="n"/>
      <c r="J167" s="49" t="n"/>
      <c r="K167" s="49" t="n"/>
      <c r="L167" s="49" t="n"/>
      <c r="M167" s="49" t="n"/>
    </row>
    <row r="168" outlineLevel="1" ht="14.5" customFormat="1" customHeight="1" s="36">
      <c r="A168" s="37">
        <f>A158&amp;"_"&amp;B168</f>
        <v/>
      </c>
      <c r="B168" s="42" t="n">
        <v>9</v>
      </c>
      <c r="C168" s="186" t="n"/>
      <c r="D168" s="186" t="n"/>
      <c r="E168" s="45" t="inlineStr">
        <is>
          <t>– allocated memory</t>
        </is>
      </c>
      <c r="F168" s="53" t="inlineStr">
        <is>
          <t>not applicable</t>
        </is>
      </c>
      <c r="G168" s="55" t="n"/>
      <c r="H168" s="47" t="n"/>
      <c r="I168" s="47" t="n"/>
      <c r="J168" s="49" t="n"/>
      <c r="K168" s="49" t="n"/>
      <c r="L168" s="49" t="n"/>
      <c r="M168" s="49" t="n"/>
    </row>
    <row r="169" outlineLevel="1" ht="28.5" customFormat="1" customHeight="1" s="36">
      <c r="A169" s="37">
        <f>A158&amp;"_"&amp;B169</f>
        <v/>
      </c>
      <c r="B169" s="50" t="n">
        <v>10</v>
      </c>
      <c r="C169" s="187" t="inlineStr">
        <is>
          <t>Components of
identical type</t>
        </is>
      </c>
      <c r="D169" s="187" t="inlineStr">
        <is>
          <t>Identical components may fail with higher probability simultaneously (common mode failures)</t>
        </is>
      </c>
      <c r="E169" s="45" t="inlineStr">
        <is>
          <t>• Reused standard software modules
重复使用的标准软件模块</t>
        </is>
      </c>
      <c r="F169" s="53" t="inlineStr">
        <is>
          <t>not applicable</t>
        </is>
      </c>
      <c r="G169" s="46" t="n"/>
      <c r="H169" s="47" t="n"/>
      <c r="I169" s="47" t="n"/>
      <c r="J169" s="48" t="n"/>
      <c r="K169" s="49" t="n"/>
      <c r="L169" s="49" t="n"/>
      <c r="M169" s="49" t="n"/>
    </row>
    <row r="170" outlineLevel="1" ht="42" customFormat="1" customHeight="1" s="36">
      <c r="A170" s="37">
        <f>A158&amp;"_"&amp;B170</f>
        <v/>
      </c>
      <c r="B170" s="42" t="n">
        <v>11</v>
      </c>
      <c r="C170" s="185" t="n"/>
      <c r="D170" s="185" t="n"/>
      <c r="E170" s="45" t="inlineStr">
        <is>
          <t>• Standard library components
标准库组件</t>
        </is>
      </c>
      <c r="F170" s="45" t="inlineStr">
        <is>
          <t xml:space="preserve">Yes </t>
        </is>
      </c>
      <c r="G170" s="46" t="inlineStr">
        <is>
          <t>GPIO模块失效后会导致无法检测制动灯硬线且无法检测制动灯故障</t>
        </is>
      </c>
      <c r="H170" s="47" t="inlineStr">
        <is>
          <t xml:space="preserve">1：支持硬线制动灯点亮：
</t>
        </is>
      </c>
      <c r="I170" s="47" t="inlineStr">
        <is>
          <t>SW_DFA_SM_001</t>
        </is>
      </c>
      <c r="J170" s="48" t="inlineStr">
        <is>
          <t>通过集成测试</t>
        </is>
      </c>
      <c r="K170" s="49" t="inlineStr">
        <is>
          <t>满足ASILB开发和测试</t>
        </is>
      </c>
      <c r="L170" s="49" t="n"/>
      <c r="M170" s="49" t="n"/>
    </row>
    <row r="171" outlineLevel="1" ht="28.5" customFormat="1" customHeight="1" s="36">
      <c r="A171" s="37">
        <f>A158&amp;"_"&amp;B171</f>
        <v/>
      </c>
      <c r="B171" s="50" t="n">
        <v>12</v>
      </c>
      <c r="C171" s="185" t="n"/>
      <c r="D171" s="185" t="n"/>
      <c r="E171" s="45" t="inlineStr">
        <is>
          <t>• Middleware
中间件</t>
        </is>
      </c>
      <c r="F171" s="53" t="inlineStr">
        <is>
          <t>not applicable</t>
        </is>
      </c>
      <c r="G171" s="55" t="n"/>
      <c r="H171" s="47" t="n"/>
      <c r="I171" s="47" t="n"/>
      <c r="J171" s="49" t="n"/>
      <c r="K171" s="49" t="n"/>
      <c r="L171" s="49" t="n"/>
      <c r="M171" s="49" t="n"/>
    </row>
    <row r="172" outlineLevel="1" ht="28.5" customFormat="1" customHeight="1" s="36">
      <c r="A172" s="37">
        <f>A158&amp;"_"&amp;B172</f>
        <v/>
      </c>
      <c r="B172" s="42" t="n">
        <v>13</v>
      </c>
      <c r="C172" s="185" t="n"/>
      <c r="D172" s="185" t="n"/>
      <c r="E172" s="45" t="inlineStr">
        <is>
          <t>• Operating system
操作系统</t>
        </is>
      </c>
      <c r="F172" s="53" t="inlineStr">
        <is>
          <t>not applicable</t>
        </is>
      </c>
      <c r="G172" s="55" t="n"/>
      <c r="H172" s="47" t="n"/>
      <c r="I172" s="47" t="n"/>
      <c r="J172" s="49" t="n"/>
      <c r="K172" s="49" t="n"/>
      <c r="L172" s="49" t="n"/>
      <c r="M172" s="49" t="n"/>
    </row>
    <row r="173" outlineLevel="1" ht="28.5" customFormat="1" customHeight="1" s="36">
      <c r="A173" s="37">
        <f>A158&amp;"_"&amp;B173</f>
        <v/>
      </c>
      <c r="B173" s="50" t="n">
        <v>14</v>
      </c>
      <c r="C173" s="185" t="n"/>
      <c r="D173" s="185" t="n"/>
      <c r="E173" s="45" t="inlineStr">
        <is>
          <t>• Communication stack
通信栈</t>
        </is>
      </c>
      <c r="F173" s="53" t="inlineStr">
        <is>
          <t>not applicable</t>
        </is>
      </c>
      <c r="G173" s="55" t="n"/>
      <c r="H173" s="47" t="n"/>
      <c r="I173" s="47" t="n"/>
      <c r="J173" s="49" t="n"/>
      <c r="K173" s="49" t="n"/>
      <c r="L173" s="49" t="n"/>
      <c r="M173" s="49" t="n"/>
    </row>
    <row r="174" outlineLevel="1" ht="58" customFormat="1" customHeight="1" s="36">
      <c r="A174" s="37">
        <f>A158&amp;"_"&amp;B174</f>
        <v/>
      </c>
      <c r="B174" s="42" t="n">
        <v>15</v>
      </c>
      <c r="C174" s="186" t="n"/>
      <c r="D174" s="186" t="n"/>
      <c r="E174" s="45" t="inlineStr">
        <is>
          <t xml:space="preserve">
• Parameter set
参数设置
</t>
        </is>
      </c>
      <c r="F174" s="53" t="inlineStr">
        <is>
          <t>not applicable</t>
        </is>
      </c>
      <c r="G174" s="55" t="n"/>
      <c r="H174" s="47" t="n"/>
      <c r="I174" s="47" t="n"/>
      <c r="J174" s="49" t="n"/>
      <c r="K174" s="49" t="n"/>
      <c r="L174" s="49" t="n"/>
      <c r="M174" s="49" t="n"/>
    </row>
    <row r="175" outlineLevel="1" ht="100.5" customFormat="1" customHeight="1" s="36">
      <c r="A175" s="37">
        <f>A158&amp;"_"&amp;B175</f>
        <v/>
      </c>
      <c r="B175" s="50" t="n">
        <v>16</v>
      </c>
      <c r="C175" s="187" t="inlineStr">
        <is>
          <t>Communication
between the two
functions</t>
        </is>
      </c>
      <c r="D175" s="184" t="inlineStr">
        <is>
          <t>Receiving function is affected by information that is false, lost, sent multiple times, or in the wrong order etc. from the sender</t>
        </is>
      </c>
      <c r="E175"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175" s="53" t="inlineStr">
        <is>
          <t>not applicable</t>
        </is>
      </c>
      <c r="G175" s="55" t="n"/>
      <c r="H175" s="47" t="n"/>
      <c r="I175" s="47" t="n"/>
      <c r="J175" s="49" t="n"/>
      <c r="K175" s="49" t="n"/>
      <c r="L175" s="49" t="n"/>
      <c r="M175" s="49" t="n"/>
    </row>
    <row r="176" outlineLevel="1" ht="72.5" customFormat="1" customHeight="1" s="36">
      <c r="A176" s="37">
        <f>A158&amp;"_"&amp;B176</f>
        <v/>
      </c>
      <c r="B176" s="42" t="n">
        <v>17</v>
      </c>
      <c r="C176" s="185" t="n"/>
      <c r="D176" s="185" t="n"/>
      <c r="E176" s="45" t="inlineStr">
        <is>
          <t>• Data or message corruption/ repetition*/ loss*/ delay*/ masquerading or incorrect addressing of information*
数据或信息的损坏/重复/丢失/延迟/伪装或信息的错误标识*</t>
        </is>
      </c>
      <c r="F176" s="53" t="inlineStr">
        <is>
          <t>not applicable</t>
        </is>
      </c>
      <c r="G176" s="55" t="n"/>
      <c r="H176" s="47" t="n"/>
      <c r="I176" s="47" t="n"/>
      <c r="J176" s="49" t="n"/>
      <c r="K176" s="49" t="n"/>
      <c r="L176" s="49" t="n"/>
      <c r="M176" s="49" t="n"/>
    </row>
    <row r="177" outlineLevel="1" ht="49" customFormat="1" customHeight="1" s="36">
      <c r="A177" s="37">
        <f>A158&amp;"_"&amp;B177</f>
        <v/>
      </c>
      <c r="B177" s="50" t="n">
        <v>18</v>
      </c>
      <c r="C177" s="185" t="n"/>
      <c r="D177" s="185" t="n"/>
      <c r="E177" s="45" t="inlineStr">
        <is>
          <t>• Insertion*/ sequence of information*
插入* / 信息序列*</t>
        </is>
      </c>
      <c r="F177" s="53" t="inlineStr">
        <is>
          <t>not applicable</t>
        </is>
      </c>
      <c r="G177" s="55" t="n"/>
      <c r="H177" s="47" t="n"/>
      <c r="I177" s="47" t="n"/>
      <c r="J177" s="49" t="n"/>
      <c r="K177" s="49" t="n"/>
      <c r="L177" s="49" t="n"/>
      <c r="M177" s="49" t="n"/>
    </row>
    <row r="178" outlineLevel="1" ht="48" customFormat="1" customHeight="1" s="36">
      <c r="A178" s="37">
        <f>A158&amp;"_"&amp;B178</f>
        <v/>
      </c>
      <c r="B178" s="42" t="n">
        <v>19</v>
      </c>
      <c r="C178" s="185" t="n"/>
      <c r="D178" s="185" t="n"/>
      <c r="E178" s="45" t="inlineStr">
        <is>
          <t>• Corruption of information*
信息的失真*</t>
        </is>
      </c>
      <c r="F178" s="53" t="inlineStr">
        <is>
          <t>not applicable</t>
        </is>
      </c>
      <c r="G178" s="55" t="n"/>
      <c r="H178" s="47" t="n"/>
      <c r="I178" s="47" t="n"/>
      <c r="J178" s="49" t="n"/>
      <c r="K178" s="49" t="n"/>
      <c r="L178" s="49" t="n"/>
      <c r="M178" s="49" t="n"/>
    </row>
    <row r="179" outlineLevel="1" ht="48" customFormat="1" customHeight="1" s="36">
      <c r="A179" s="37">
        <f>A158&amp;"_"&amp;B179</f>
        <v/>
      </c>
      <c r="B179" s="50" t="n">
        <v>20</v>
      </c>
      <c r="C179" s="185" t="n"/>
      <c r="D179" s="185" t="n"/>
      <c r="E179" s="45" t="inlineStr">
        <is>
          <t>• Asymmetric information sent from a sender to multiple receivers*
从发送者传向多个接收者的不对称信息*</t>
        </is>
      </c>
      <c r="F179" s="53" t="inlineStr">
        <is>
          <t>not applicable</t>
        </is>
      </c>
      <c r="G179" s="55" t="n"/>
      <c r="H179" s="47" t="n"/>
      <c r="I179" s="47" t="n"/>
      <c r="J179" s="49" t="n"/>
      <c r="K179" s="49" t="n"/>
      <c r="L179" s="49" t="n"/>
      <c r="M179" s="49" t="n"/>
    </row>
    <row r="180" outlineLevel="1" ht="48" customFormat="1" customHeight="1" s="36">
      <c r="A180" s="37">
        <f>A158&amp;"_"&amp;B180</f>
        <v/>
      </c>
      <c r="B180" s="42" t="n">
        <v>21</v>
      </c>
      <c r="C180" s="185" t="n"/>
      <c r="D180" s="185" t="n"/>
      <c r="E180" s="45" t="inlineStr">
        <is>
          <t>• Information from a sender received by only a subset of the receivers*
仅部分接收者接收到的来自发送者的信息*</t>
        </is>
      </c>
      <c r="F180" s="53" t="inlineStr">
        <is>
          <t>not applicable</t>
        </is>
      </c>
      <c r="G180" s="55" t="n"/>
      <c r="H180" s="47" t="n"/>
      <c r="I180" s="47" t="n"/>
      <c r="J180" s="49" t="n"/>
      <c r="K180" s="49" t="n"/>
      <c r="L180" s="49" t="n"/>
      <c r="M180" s="49" t="n"/>
    </row>
    <row r="181" outlineLevel="1" ht="43.5" customFormat="1" customHeight="1" s="36">
      <c r="A181" s="37">
        <f>A158&amp;"_"&amp;B181</f>
        <v/>
      </c>
      <c r="B181" s="50" t="n">
        <v>22</v>
      </c>
      <c r="C181" s="186" t="n"/>
      <c r="D181" s="186" t="n"/>
      <c r="E181" s="45" t="inlineStr">
        <is>
          <t>• Blocking access to a communication channel*
阻止对通信通道的访问*</t>
        </is>
      </c>
      <c r="F181" s="53" t="inlineStr">
        <is>
          <t>not applicable</t>
        </is>
      </c>
      <c r="G181" s="46" t="n"/>
      <c r="H181" s="47" t="n"/>
      <c r="I181" s="47" t="n"/>
      <c r="J181" s="48" t="n"/>
      <c r="K181" s="49" t="n"/>
      <c r="L181" s="49" t="n"/>
      <c r="M181" s="49" t="n"/>
    </row>
    <row r="182" outlineLevel="1" ht="45" customFormat="1" customHeight="1" s="36">
      <c r="A182" s="37">
        <f>A158&amp;"_"&amp;B182</f>
        <v/>
      </c>
      <c r="B182" s="42" t="n">
        <v>23</v>
      </c>
      <c r="C182" s="187" t="inlineStr">
        <is>
          <t>Shared information
inputs</t>
        </is>
      </c>
      <c r="D182" s="187" t="inlineStr">
        <is>
          <t>Same information consumed by the two functions even in absence of shared resources, i.e. from a functional perspective</t>
        </is>
      </c>
      <c r="E182" s="45" t="inlineStr">
        <is>
          <t>• Calibration parameters
标准参数</t>
        </is>
      </c>
      <c r="F182" s="53" t="inlineStr">
        <is>
          <t>not applicable</t>
        </is>
      </c>
      <c r="G182" s="55" t="n"/>
      <c r="H182" s="47" t="n"/>
      <c r="I182" s="47" t="n"/>
      <c r="J182" s="49" t="n"/>
      <c r="K182" s="49" t="n"/>
      <c r="L182" s="49" t="n"/>
      <c r="M182" s="49" t="n"/>
    </row>
    <row r="183" outlineLevel="1" ht="57" customFormat="1" customHeight="1" s="36">
      <c r="A183" s="37">
        <f>A158&amp;"_"&amp;B183</f>
        <v/>
      </c>
      <c r="B183" s="50" t="n">
        <v>24</v>
      </c>
      <c r="C183" s="185" t="n"/>
      <c r="D183" s="185" t="n"/>
      <c r="E183" s="45" t="inlineStr">
        <is>
          <t>• Constants, or variables, being global to the two software functions
常量或变量对于这两个软件功能而言是全局性的。</t>
        </is>
      </c>
      <c r="F183" s="53" t="inlineStr">
        <is>
          <t>not applicable</t>
        </is>
      </c>
      <c r="G183" s="55" t="n"/>
      <c r="H183" s="47" t="n"/>
      <c r="I183" s="47" t="n"/>
      <c r="J183" s="49" t="n"/>
      <c r="K183" s="49" t="n"/>
      <c r="L183" s="49" t="n"/>
      <c r="M183" s="49" t="n"/>
    </row>
    <row r="184" outlineLevel="1" ht="100" customFormat="1" customHeight="1" s="36">
      <c r="A184" s="37">
        <f>A158&amp;"_"&amp;B184</f>
        <v/>
      </c>
      <c r="B184" s="42" t="n">
        <v>25</v>
      </c>
      <c r="C184" s="185" t="n"/>
      <c r="D184" s="185" t="n"/>
      <c r="E184" s="45" t="inlineStr">
        <is>
          <t>• Basic software passes data (read from hardware register and converted into logical information) to two application software functions
基础软件会将数据（从硬件寄存器读取并转换为逻辑信息）传递给两个应用程序软件功能。</t>
        </is>
      </c>
      <c r="F184" s="53" t="inlineStr">
        <is>
          <t>not applicable</t>
        </is>
      </c>
      <c r="G184" s="55" t="n"/>
      <c r="H184" s="47" t="n"/>
      <c r="I184" s="47" t="n"/>
      <c r="J184" s="49" t="n"/>
      <c r="K184" s="49" t="n"/>
      <c r="L184" s="49" t="n"/>
      <c r="M184" s="49" t="n"/>
    </row>
    <row r="185" outlineLevel="1" ht="115.5" customFormat="1" customHeight="1" s="36">
      <c r="A185" s="37">
        <f>A158&amp;"_"&amp;B185</f>
        <v/>
      </c>
      <c r="B185" s="50" t="n">
        <v>26</v>
      </c>
      <c r="C185" s="186" t="n"/>
      <c r="D185" s="186" t="n"/>
      <c r="E185"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185" s="53" t="inlineStr">
        <is>
          <t>not applicable</t>
        </is>
      </c>
      <c r="G185" s="55" t="n"/>
      <c r="H185" s="47" t="n"/>
      <c r="I185" s="47" t="n"/>
      <c r="J185" s="49" t="n"/>
      <c r="K185" s="49" t="n"/>
      <c r="L185" s="49" t="n"/>
      <c r="M185" s="49" t="n"/>
    </row>
    <row r="186" outlineLevel="1" ht="68.5" customFormat="1" customHeight="1" s="36">
      <c r="A186" s="37">
        <f>A158&amp;"_"&amp;B186</f>
        <v/>
      </c>
      <c r="B186" s="42" t="n">
        <v>27</v>
      </c>
      <c r="C186" s="187" t="inlineStr">
        <is>
          <t>Environmental
influences</t>
        </is>
      </c>
      <c r="D186" s="184" t="inlineStr">
        <is>
          <t>Common external environmental disturbance affects both functions</t>
        </is>
      </c>
      <c r="E186" s="45" t="inlineStr">
        <is>
          <t xml:space="preserve">System-level: mechanical shock, water ingress
 系统层面：机械震动、进水                                                                                                                                                                </t>
        </is>
      </c>
      <c r="F186" s="53" t="inlineStr">
        <is>
          <t>not applicable</t>
        </is>
      </c>
      <c r="G186" s="55" t="n"/>
      <c r="H186" s="47" t="n"/>
      <c r="I186" s="47" t="n"/>
      <c r="J186" s="49" t="n"/>
      <c r="K186" s="49" t="n"/>
      <c r="L186" s="49" t="n"/>
      <c r="M186" s="49" t="n"/>
    </row>
    <row r="187" outlineLevel="1" ht="28.5" customFormat="1" customHeight="1" s="36">
      <c r="A187" s="37">
        <f>A158&amp;"_"&amp;B187</f>
        <v/>
      </c>
      <c r="B187" s="50" t="n">
        <v>28</v>
      </c>
      <c r="C187" s="185" t="n"/>
      <c r="D187" s="185" t="n"/>
      <c r="E187" s="45" t="inlineStr">
        <is>
          <t>Software-level: not applicable for Software
软件层面：不适用于软件</t>
        </is>
      </c>
      <c r="F187" s="53" t="inlineStr">
        <is>
          <t>not applicable</t>
        </is>
      </c>
      <c r="G187" s="55" t="n"/>
      <c r="H187" s="47" t="n"/>
      <c r="I187" s="47" t="n"/>
      <c r="J187" s="49" t="n"/>
      <c r="K187" s="49" t="n"/>
      <c r="L187" s="49" t="n"/>
      <c r="M187" s="49" t="n"/>
    </row>
    <row r="188" outlineLevel="1" ht="43" customFormat="1" customHeight="1" s="36">
      <c r="A188" s="37">
        <f>A158&amp;"_"&amp;B188</f>
        <v/>
      </c>
      <c r="B188" s="42" t="n">
        <v>29</v>
      </c>
      <c r="C188" s="186" t="n"/>
      <c r="D188" s="186" t="n"/>
      <c r="E188" s="45" t="inlineStr">
        <is>
          <t>Hardware-level: under and over voltage of the power supply        
硬件层面：电源的欠压和过压情况</t>
        </is>
      </c>
      <c r="F188" s="53" t="inlineStr">
        <is>
          <t>not applicable</t>
        </is>
      </c>
      <c r="G188" s="55" t="n"/>
      <c r="H188" s="47" t="n"/>
      <c r="I188" s="47" t="n"/>
      <c r="J188" s="49" t="n"/>
      <c r="K188" s="49" t="n"/>
      <c r="L188" s="49" t="n"/>
      <c r="M188" s="49" t="n"/>
    </row>
    <row r="189" outlineLevel="1" ht="72.5" customFormat="1" customHeight="1" s="36">
      <c r="A189" s="37">
        <f>A158&amp;"_"&amp;B189</f>
        <v/>
      </c>
      <c r="B189" s="50" t="n">
        <v>30</v>
      </c>
      <c r="C189" s="187" t="inlineStr">
        <is>
          <t>Unintended impact</t>
        </is>
      </c>
      <c r="D189" s="187" t="inlineStr">
        <is>
          <t>Two functions affecting each other’s elements directly via an implicit, that is unintended interface.</t>
        </is>
      </c>
      <c r="E189" s="45" t="inlineStr">
        <is>
          <t>• Memory / corruption of content*
– “wild pointers“ (including program counter stack)
内存/内容损坏*
——“失控指针”（包括程序计数器栈</t>
        </is>
      </c>
      <c r="F189" s="45" t="inlineStr">
        <is>
          <t xml:space="preserve">Yes </t>
        </is>
      </c>
      <c r="G189" s="46" t="inlineStr">
        <is>
          <t>GPIO模块失效后会导致无法检测制动灯硬线且无法检测制动灯故障</t>
        </is>
      </c>
      <c r="H189" s="47" t="inlineStr">
        <is>
          <t xml:space="preserve">1：支持硬线制动灯点亮：
</t>
        </is>
      </c>
      <c r="I189" s="47" t="inlineStr">
        <is>
          <t>SW_DFA_SM_001</t>
        </is>
      </c>
      <c r="J189" s="48" t="inlineStr">
        <is>
          <t>通过集成测试</t>
        </is>
      </c>
      <c r="K189" s="49" t="inlineStr">
        <is>
          <t>满足ASILB开发和测试</t>
        </is>
      </c>
      <c r="L189" s="49" t="n"/>
      <c r="M189" s="49" t="n"/>
    </row>
    <row r="190" outlineLevel="1" ht="42" customFormat="1" customHeight="1" s="36">
      <c r="A190" s="37">
        <f>A158&amp;"_"&amp;B190</f>
        <v/>
      </c>
      <c r="B190" s="42" t="n">
        <v>31</v>
      </c>
      <c r="C190" s="185" t="n"/>
      <c r="D190" s="185" t="n"/>
      <c r="E190" s="45" t="inlineStr">
        <is>
          <t>– memory mis-allocation
——内存分配错误</t>
        </is>
      </c>
      <c r="F190" s="45" t="inlineStr">
        <is>
          <t xml:space="preserve">Yes </t>
        </is>
      </c>
      <c r="G190" s="46" t="inlineStr">
        <is>
          <t>GPIO模块失效后会导致无法检测制动灯硬线且无法检测制动灯故障</t>
        </is>
      </c>
      <c r="H190" s="47" t="inlineStr">
        <is>
          <t xml:space="preserve">1：支持硬线制动灯点亮：
</t>
        </is>
      </c>
      <c r="I190" s="47" t="inlineStr">
        <is>
          <t>SW_DFA_SM_001</t>
        </is>
      </c>
      <c r="J190" s="48" t="inlineStr">
        <is>
          <t>通过集成测试</t>
        </is>
      </c>
      <c r="K190" s="49" t="inlineStr">
        <is>
          <t>满足ASILB开发和测试</t>
        </is>
      </c>
      <c r="L190" s="49" t="n"/>
      <c r="M190" s="49" t="n"/>
    </row>
    <row r="191" outlineLevel="1" ht="42" customFormat="1" customHeight="1" s="36">
      <c r="A191" s="37">
        <f>A158&amp;"_"&amp;B191</f>
        <v/>
      </c>
      <c r="B191" s="50" t="n">
        <v>32</v>
      </c>
      <c r="C191" s="185" t="n"/>
      <c r="D191" s="185" t="n"/>
      <c r="E191" s="45" t="inlineStr">
        <is>
          <t>– memory leaks
内存泄漏</t>
        </is>
      </c>
      <c r="F191" s="45" t="inlineStr">
        <is>
          <t xml:space="preserve">Yes </t>
        </is>
      </c>
      <c r="G191" s="46" t="inlineStr">
        <is>
          <t>GPIO模块失效后会导致无法检测制动灯硬线且无法检测制动灯故障</t>
        </is>
      </c>
      <c r="H191" s="47" t="inlineStr">
        <is>
          <t xml:space="preserve">1：支持硬线制动灯点亮：
</t>
        </is>
      </c>
      <c r="I191" s="47" t="inlineStr">
        <is>
          <t>SW_DFA_SM_001</t>
        </is>
      </c>
      <c r="J191" s="48" t="inlineStr">
        <is>
          <t>通过集成测试</t>
        </is>
      </c>
      <c r="K191" s="49" t="inlineStr">
        <is>
          <t>满足ASILB开发和测试</t>
        </is>
      </c>
      <c r="L191" s="49" t="n"/>
      <c r="M191" s="49" t="n"/>
    </row>
    <row r="192" outlineLevel="1" ht="58" customFormat="1" customHeight="1" s="36">
      <c r="A192" s="37">
        <f>A158&amp;"_"&amp;B192</f>
        <v/>
      </c>
      <c r="B192" s="42" t="n">
        <v>33</v>
      </c>
      <c r="C192" s="185" t="n"/>
      <c r="D192" s="185" t="n"/>
      <c r="E192" s="45" t="inlineStr">
        <is>
          <t>– read/write access to memory allocated to another software element*
—— 对分配给其他软件组件的内存的读/写访问权限*</t>
        </is>
      </c>
      <c r="F192" s="53" t="inlineStr">
        <is>
          <t>not applicable</t>
        </is>
      </c>
      <c r="G192" s="55" t="n"/>
      <c r="H192" s="47" t="n"/>
      <c r="I192" s="47" t="n"/>
      <c r="J192" s="49" t="n"/>
      <c r="K192" s="49" t="n"/>
      <c r="L192" s="49" t="n"/>
      <c r="M192" s="49" t="n"/>
    </row>
    <row r="193" outlineLevel="1" ht="29" customFormat="1" customHeight="1" s="36">
      <c r="A193" s="37">
        <f>A158&amp;"_"&amp;B193</f>
        <v/>
      </c>
      <c r="B193" s="50" t="n">
        <v>34</v>
      </c>
      <c r="C193" s="185" t="n"/>
      <c r="D193" s="185" t="n"/>
      <c r="E193" s="45" t="inlineStr">
        <is>
          <t>– buffer under-/overflow
– 缓冲区下溢/上溢</t>
        </is>
      </c>
      <c r="F193" s="53" t="inlineStr">
        <is>
          <t>not applicable</t>
        </is>
      </c>
      <c r="G193" s="55" t="n"/>
      <c r="H193" s="47" t="n"/>
      <c r="I193" s="47" t="n"/>
      <c r="J193" s="49" t="n"/>
      <c r="K193" s="49" t="n"/>
      <c r="L193" s="49" t="n"/>
      <c r="M193" s="49" t="n"/>
    </row>
    <row r="194" outlineLevel="1" ht="57.5" customFormat="1" customHeight="1" s="36">
      <c r="A194" s="37">
        <f>A158&amp;"_"&amp;B194</f>
        <v/>
      </c>
      <c r="B194" s="42" t="n">
        <v>35</v>
      </c>
      <c r="C194" s="185" t="n"/>
      <c r="D194" s="185" t="n"/>
      <c r="E194" s="45" t="inlineStr">
        <is>
          <t>• Timing and execution
– deadlocks*
时机与执行
——死锁*</t>
        </is>
      </c>
      <c r="F194" s="53" t="inlineStr">
        <is>
          <t>not applicable</t>
        </is>
      </c>
      <c r="G194" s="55" t="n"/>
      <c r="H194" s="47" t="n"/>
      <c r="I194" s="47" t="n"/>
      <c r="J194" s="49" t="n"/>
      <c r="K194" s="49" t="n"/>
      <c r="L194" s="49" t="n"/>
      <c r="M194" s="49" t="n"/>
    </row>
    <row r="195" outlineLevel="1" ht="28.5" customFormat="1" customHeight="1" s="36">
      <c r="A195" s="37">
        <f>A158&amp;"_"&amp;B195</f>
        <v/>
      </c>
      <c r="B195" s="50" t="n">
        <v>36</v>
      </c>
      <c r="C195" s="185" t="n"/>
      <c r="D195" s="185" t="n"/>
      <c r="E195" s="45" t="inlineStr">
        <is>
          <t>– livelocks*
活锁</t>
        </is>
      </c>
      <c r="F195" s="53" t="inlineStr">
        <is>
          <t>not applicable</t>
        </is>
      </c>
      <c r="G195" s="55" t="n"/>
      <c r="H195" s="47" t="n"/>
      <c r="I195" s="47" t="n"/>
      <c r="J195" s="49" t="n"/>
      <c r="K195" s="49" t="n"/>
      <c r="L195" s="49" t="n"/>
      <c r="M195" s="49" t="n"/>
    </row>
    <row r="196" outlineLevel="1" ht="29" customFormat="1" customHeight="1" s="36">
      <c r="A196" s="37">
        <f>A158&amp;"_"&amp;B196</f>
        <v/>
      </c>
      <c r="B196" s="42" t="n">
        <v>37</v>
      </c>
      <c r="C196" s="185" t="n"/>
      <c r="D196" s="185" t="n"/>
      <c r="E196" s="45" t="inlineStr">
        <is>
          <t>– incorrect allocation of execution time*
——执行时间分配不当*</t>
        </is>
      </c>
      <c r="F196" s="53" t="inlineStr">
        <is>
          <t>not applicable</t>
        </is>
      </c>
      <c r="G196" s="55" t="n"/>
      <c r="H196" s="47" t="n"/>
      <c r="I196" s="47" t="n"/>
      <c r="J196" s="49" t="n"/>
      <c r="K196" s="49" t="n"/>
      <c r="L196" s="49" t="n"/>
      <c r="M196" s="49" t="n"/>
    </row>
    <row r="197" outlineLevel="1" ht="43.5" customFormat="1" customHeight="1" s="36">
      <c r="A197" s="37">
        <f>A158&amp;"_"&amp;B197</f>
        <v/>
      </c>
      <c r="B197" s="50" t="n">
        <v>38</v>
      </c>
      <c r="C197" s="186" t="n"/>
      <c r="D197" s="186" t="n"/>
      <c r="E197" s="45" t="inlineStr">
        <is>
          <t>– incorrect synchronization between software elements*
——软件各组成部分之间的同步不正确*</t>
        </is>
      </c>
      <c r="F197" s="53" t="inlineStr">
        <is>
          <t>not applicable</t>
        </is>
      </c>
      <c r="G197" s="46" t="n"/>
      <c r="H197" s="47" t="n"/>
      <c r="I197" s="47" t="n"/>
      <c r="J197" s="48" t="n"/>
      <c r="K197" s="49" t="n"/>
      <c r="L197" s="49" t="n"/>
      <c r="M197" s="49" t="n"/>
    </row>
    <row r="198" outlineLevel="1" ht="72" customFormat="1" customHeight="1" s="36">
      <c r="A198" s="37">
        <f>A158&amp;"_"&amp;B198</f>
        <v/>
      </c>
      <c r="B198" s="42" t="n">
        <v>39</v>
      </c>
      <c r="C198" s="187" t="inlineStr">
        <is>
          <t>Systematic coupling</t>
        </is>
      </c>
      <c r="D198" s="187" t="inlineStr">
        <is>
          <t>Systematic causes from human or tool errors can lead to the simultaneous failure of more than one function</t>
        </is>
      </c>
      <c r="E198" s="45" t="inlineStr">
        <is>
          <t>• Manufacturing fault / repair fault (e.g. false flashing, false calibration reference for sensors)
制造故障/维修故障（例如：错误的闪烁现象、传感器的错误校准参考值）</t>
        </is>
      </c>
      <c r="F198" s="53" t="inlineStr">
        <is>
          <t>not applicable</t>
        </is>
      </c>
      <c r="G198" s="55" t="n"/>
      <c r="H198" s="47" t="n"/>
      <c r="I198" s="47" t="n"/>
      <c r="J198" s="49" t="n"/>
      <c r="K198" s="49" t="n"/>
      <c r="L198" s="49" t="n"/>
      <c r="M198" s="49" t="n"/>
    </row>
    <row r="199" outlineLevel="1" ht="115.5" customFormat="1" customHeight="1" s="36">
      <c r="A199" s="37">
        <f>A158&amp;"_"&amp;B199</f>
        <v/>
      </c>
      <c r="B199" s="50" t="n">
        <v>40</v>
      </c>
      <c r="C199" s="185" t="n"/>
      <c r="D199" s="185" t="n"/>
      <c r="E199" s="61" t="inlineStr">
        <is>
          <t xml:space="preserve">• Non-diverse development approaches including:
– same software tools (e.g. IDE, compiler, linker)
非多元化的发展方式包括：
——相同的软件工具（例如集成开发环境、编译器、链接器）
</t>
        </is>
      </c>
      <c r="F199" s="45" t="inlineStr">
        <is>
          <t xml:space="preserve">Yes </t>
        </is>
      </c>
      <c r="G199" s="62" t="inlineStr">
        <is>
          <t>代码异常导致的违背安全目标</t>
        </is>
      </c>
      <c r="H199" s="63" t="inlineStr">
        <is>
          <t>工具鉴定</t>
        </is>
      </c>
      <c r="I199" s="63" t="n"/>
      <c r="J199" s="49" t="inlineStr">
        <is>
          <t>通过集成测试</t>
        </is>
      </c>
      <c r="K199" s="68" t="inlineStr">
        <is>
          <t>满足ASILB开发和测试</t>
        </is>
      </c>
      <c r="L199" s="68" t="n"/>
      <c r="M199" s="49" t="n"/>
    </row>
    <row r="200" outlineLevel="1" ht="28.5" customFormat="1" customHeight="1" s="36">
      <c r="A200" s="37">
        <f>A158&amp;"_"&amp;B200</f>
        <v/>
      </c>
      <c r="B200" s="42" t="n">
        <v>41</v>
      </c>
      <c r="C200" s="185" t="n"/>
      <c r="D200" s="185" t="n"/>
      <c r="E200" s="61" t="inlineStr">
        <is>
          <t>– same algorithms
相同的算法</t>
        </is>
      </c>
      <c r="F200" s="53" t="inlineStr">
        <is>
          <t>not applicable</t>
        </is>
      </c>
      <c r="G200" s="55" t="n"/>
      <c r="H200" s="47" t="n"/>
      <c r="I200" s="47" t="n"/>
      <c r="J200" s="49" t="n"/>
      <c r="K200" s="49" t="n"/>
      <c r="L200" s="49" t="n"/>
      <c r="M200" s="49" t="n"/>
    </row>
    <row r="201" outlineLevel="1" ht="43.5" customFormat="1" customHeight="1" s="36">
      <c r="A201" s="37">
        <f>A158&amp;"_"&amp;B201</f>
        <v/>
      </c>
      <c r="B201" s="50" t="n">
        <v>42</v>
      </c>
      <c r="C201" s="185" t="n"/>
      <c r="D201" s="185" t="n"/>
      <c r="E201" s="61" t="inlineStr">
        <is>
          <t>– same programming and/or modelling language used
所使用的编程和/或建模语言相同</t>
        </is>
      </c>
      <c r="F201" s="45" t="inlineStr">
        <is>
          <t xml:space="preserve">Yes </t>
        </is>
      </c>
      <c r="G201" s="62" t="inlineStr">
        <is>
          <t>代码异常导致的违背安全目标</t>
        </is>
      </c>
      <c r="H201" s="63" t="inlineStr">
        <is>
          <t>工具鉴定</t>
        </is>
      </c>
      <c r="I201" s="47" t="n"/>
      <c r="J201" s="49" t="inlineStr">
        <is>
          <t>通过集成测试</t>
        </is>
      </c>
      <c r="K201" s="49" t="inlineStr">
        <is>
          <t>满足ASILB开发和测试</t>
        </is>
      </c>
      <c r="L201" s="49" t="n"/>
      <c r="M201" s="49" t="n"/>
    </row>
    <row r="202" outlineLevel="1" ht="29" customFormat="1" customHeight="1" s="36">
      <c r="A202" s="37">
        <f>A158&amp;"_"&amp;B202</f>
        <v/>
      </c>
      <c r="B202" s="42" t="n">
        <v>43</v>
      </c>
      <c r="C202" s="185" t="n"/>
      <c r="D202" s="185" t="n"/>
      <c r="E202" s="61" t="inlineStr">
        <is>
          <t>– same complier/linker used
使用的是相同的编译器/链接器</t>
        </is>
      </c>
      <c r="F202" s="45" t="inlineStr">
        <is>
          <t xml:space="preserve">Yes </t>
        </is>
      </c>
      <c r="G202" s="62" t="inlineStr">
        <is>
          <t>代码异常导致的违背安全目标</t>
        </is>
      </c>
      <c r="H202" s="63" t="inlineStr">
        <is>
          <t>工具鉴定</t>
        </is>
      </c>
      <c r="I202" s="47" t="n"/>
      <c r="J202" s="49" t="inlineStr">
        <is>
          <t>通过集成测试</t>
        </is>
      </c>
      <c r="K202" s="49" t="inlineStr">
        <is>
          <t>满足ASILB开发和测试</t>
        </is>
      </c>
      <c r="L202" s="49" t="n"/>
      <c r="M202" s="49" t="n"/>
    </row>
    <row r="203" outlineLevel="1" ht="28.5" customFormat="1" customHeight="1" s="36">
      <c r="A203" s="37">
        <f>A158&amp;"_"&amp;B203</f>
        <v/>
      </c>
      <c r="B203" s="50" t="n">
        <v>44</v>
      </c>
      <c r="C203" s="185" t="n"/>
      <c r="D203" s="185" t="n"/>
      <c r="E203" s="45" t="inlineStr">
        <is>
          <t>• Same personnel
相同人员</t>
        </is>
      </c>
      <c r="F203" s="53" t="inlineStr">
        <is>
          <t>not applicable</t>
        </is>
      </c>
      <c r="G203" s="55" t="n"/>
      <c r="H203" s="47" t="n"/>
      <c r="I203" s="47" t="n"/>
      <c r="J203" s="49" t="n"/>
      <c r="K203" s="49" t="n"/>
      <c r="L203" s="49" t="n"/>
      <c r="M203" s="49" t="n"/>
    </row>
    <row r="204" outlineLevel="1" ht="57" customFormat="1" customHeight="1" s="36">
      <c r="A204" s="37">
        <f>A158&amp;"_"&amp;B204</f>
        <v/>
      </c>
      <c r="B204" s="42" t="n">
        <v>45</v>
      </c>
      <c r="C204" s="185" t="n"/>
      <c r="D204" s="185" t="n"/>
      <c r="E204" s="45" t="inlineStr">
        <is>
          <t>• Same social-cultural context (even if different personnel)
相同的社会文化背景（即便人员有所不同）</t>
        </is>
      </c>
      <c r="F204" s="53" t="inlineStr">
        <is>
          <t>not applicable</t>
        </is>
      </c>
      <c r="G204" s="55" t="n"/>
      <c r="H204" s="47" t="n"/>
      <c r="I204" s="47" t="n"/>
      <c r="J204" s="49" t="n"/>
      <c r="K204" s="49" t="n"/>
      <c r="L204" s="49" t="n"/>
      <c r="M204" s="49" t="n"/>
    </row>
    <row r="205" outlineLevel="1" ht="57.5" customFormat="1" customHeight="1" s="36">
      <c r="A205" s="37">
        <f>A158&amp;"_"&amp;B205</f>
        <v/>
      </c>
      <c r="B205" s="50" t="n">
        <v>46</v>
      </c>
      <c r="C205" s="185" t="n"/>
      <c r="D205" s="185" t="n"/>
      <c r="E205" s="45" t="inlineStr">
        <is>
          <t>• Development fault, e.g.
– human error
开发失误，例如：
– 人为错误</t>
        </is>
      </c>
      <c r="F205" s="53" t="inlineStr">
        <is>
          <t>not applicable</t>
        </is>
      </c>
      <c r="G205" s="55" t="n"/>
      <c r="H205" s="47" t="n"/>
      <c r="I205" s="47" t="n"/>
      <c r="J205" s="49" t="n"/>
      <c r="K205" s="49" t="n"/>
      <c r="L205" s="49" t="n"/>
      <c r="M205" s="49" t="n"/>
    </row>
    <row r="206" outlineLevel="1" ht="28.5" customFormat="1" customHeight="1" s="36">
      <c r="A206" s="37">
        <f>A158&amp;"_"&amp;B206</f>
        <v/>
      </c>
      <c r="B206" s="42" t="n">
        <v>47</v>
      </c>
      <c r="C206" s="185" t="n"/>
      <c r="D206" s="185" t="n"/>
      <c r="E206" s="45" t="inlineStr">
        <is>
          <t>– insufficiently qualified personnel
资质不足的人员</t>
        </is>
      </c>
      <c r="F206" s="53" t="inlineStr">
        <is>
          <t>not applicable</t>
        </is>
      </c>
      <c r="G206" s="55" t="n"/>
      <c r="H206" s="47" t="n"/>
      <c r="I206" s="47" t="n"/>
      <c r="J206" s="49" t="n"/>
      <c r="K206" s="49" t="n"/>
      <c r="L206" s="49" t="n"/>
      <c r="M206" s="49" t="n"/>
    </row>
    <row r="207" outlineLevel="1" ht="28.5" customFormat="1" customHeight="1" s="36">
      <c r="A207" s="37">
        <f>A158&amp;"_"&amp;B207</f>
        <v/>
      </c>
      <c r="B207" s="50" t="n">
        <v>48</v>
      </c>
      <c r="C207" s="185" t="n"/>
      <c r="D207" s="185" t="n"/>
      <c r="E207" s="45" t="inlineStr">
        <is>
          <t>– process weaknesses
处理弱点</t>
        </is>
      </c>
      <c r="F207" s="53" t="inlineStr">
        <is>
          <t>not applicable</t>
        </is>
      </c>
      <c r="G207" s="55" t="n"/>
      <c r="H207" s="47" t="n"/>
      <c r="I207" s="47" t="n"/>
      <c r="J207" s="49" t="n"/>
      <c r="K207" s="49" t="n"/>
      <c r="L207" s="49" t="n"/>
      <c r="M207" s="49" t="n"/>
    </row>
    <row r="208" outlineLevel="1" ht="14.5" customFormat="1" customHeight="1" s="36">
      <c r="A208" s="37">
        <f>A158&amp;"_"&amp;B208</f>
        <v/>
      </c>
      <c r="B208" s="42" t="n">
        <v>49</v>
      </c>
      <c r="C208" s="186" t="n"/>
      <c r="D208" s="186" t="n"/>
      <c r="E208" s="45" t="inlineStr">
        <is>
          <t>– insufficient methods方法不足</t>
        </is>
      </c>
      <c r="F208" s="53" t="inlineStr">
        <is>
          <t>not applicable</t>
        </is>
      </c>
      <c r="G208" s="55" t="n"/>
      <c r="H208" s="47" t="n"/>
      <c r="I208" s="47" t="n"/>
      <c r="J208" s="49" t="n"/>
      <c r="K208" s="49" t="n"/>
      <c r="L208" s="49" t="n"/>
      <c r="M208" s="49" t="n"/>
    </row>
    <row r="209" ht="75" customFormat="1" customHeight="1" s="36">
      <c r="A209" s="67">
        <f>'Top Event'!B8</f>
        <v/>
      </c>
      <c r="B209" s="67" t="n"/>
      <c r="C209" s="67">
        <f>'Top Event'!C8</f>
        <v/>
      </c>
      <c r="D209" s="67">
        <f>'Top Event'!D8</f>
        <v/>
      </c>
      <c r="E209" s="67">
        <f>'Top Event'!E8</f>
        <v/>
      </c>
      <c r="F209" s="66" t="n"/>
      <c r="G209" s="66" t="n"/>
      <c r="H209" s="64" t="n"/>
      <c r="I209" s="64" t="n"/>
      <c r="J209" s="36" t="n"/>
      <c r="K209" s="36" t="n"/>
      <c r="L209" s="36" t="n"/>
      <c r="M209" s="36" t="n"/>
    </row>
    <row r="210" ht="37.25" customFormat="1" customHeight="1" s="36">
      <c r="A210" s="37" t="n"/>
      <c r="B210" s="37" t="n"/>
      <c r="C210" s="38" t="inlineStr">
        <is>
          <t>DF-I Category</t>
        </is>
      </c>
      <c r="D210" s="38" t="inlineStr">
        <is>
          <t>Interpretation</t>
        </is>
      </c>
      <c r="E210" s="38" t="inlineStr">
        <is>
          <t>DF-Initiator Examples</t>
        </is>
      </c>
      <c r="F210" s="38" t="inlineStr">
        <is>
          <t>Applicable?</t>
        </is>
      </c>
      <c r="G210" s="38" t="inlineStr">
        <is>
          <t>safety  goal related</t>
        </is>
      </c>
      <c r="H210" s="39" t="inlineStr">
        <is>
          <t>Counter Measure</t>
        </is>
      </c>
      <c r="I210" s="39" t="inlineStr">
        <is>
          <t>Counter Measure ID</t>
        </is>
      </c>
      <c r="J210" s="38" t="inlineStr">
        <is>
          <t>Evidence</t>
        </is>
      </c>
      <c r="K210" s="38" t="inlineStr">
        <is>
          <t>sufficient?</t>
        </is>
      </c>
      <c r="L210" s="38" t="n"/>
      <c r="M210" s="41" t="inlineStr">
        <is>
          <t>Comment</t>
        </is>
      </c>
    </row>
    <row r="211" outlineLevel="1" ht="91" customFormat="1" customHeight="1" s="36">
      <c r="A211" s="37">
        <f>A209&amp;"_"&amp;B211</f>
        <v/>
      </c>
      <c r="B211" s="42" t="n">
        <v>1</v>
      </c>
      <c r="C211" s="183" t="inlineStr">
        <is>
          <t>Shared resource</t>
        </is>
      </c>
      <c r="D211" s="184" t="inlineStr">
        <is>
          <t>The same software, hardware, or system element instance used by the two elements which are therefore affected by the failure or unavailability of that shared resource, i.e. from a physical perspective.</t>
        </is>
      </c>
      <c r="E211" s="45" t="inlineStr">
        <is>
          <t>Software component used by more than one other software component, e.g.
– reused standard software modules
被多个其他软件组件所使用的软件组件，例如：
– 重复使用的标准软件模块</t>
        </is>
      </c>
      <c r="F211" s="45" t="inlineStr">
        <is>
          <t xml:space="preserve">Yes </t>
        </is>
      </c>
      <c r="G211" s="46" t="inlineStr">
        <is>
          <t>NCM模块失效后会导致SPI， CAN ，ADC，WDG，GPIO， PWM，NVM模块无法运行中断任务，违背安全目标SG01,SG02.SG03</t>
        </is>
      </c>
      <c r="H211" s="47" t="inlineStr">
        <is>
          <t xml:space="preserve">1：支持硬线制动灯点亮：
2：支持外部看门狗，对异常中断造成的任务停滞进行复位处理
</t>
        </is>
      </c>
      <c r="I211" s="47" t="inlineStr">
        <is>
          <t>SW_DFA_SM_001
SW_DFA_SM_004</t>
        </is>
      </c>
      <c r="J211" s="48" t="inlineStr">
        <is>
          <t>通过集成测试</t>
        </is>
      </c>
      <c r="K211" s="49" t="inlineStr">
        <is>
          <t>满足ASILB开发和测试</t>
        </is>
      </c>
      <c r="L211" s="49" t="n"/>
      <c r="M211" s="49" t="n"/>
    </row>
    <row r="212" outlineLevel="1" ht="28.5" customFormat="1" customHeight="1" s="36">
      <c r="A212" s="37">
        <f>A209&amp;"_"&amp;B212</f>
        <v/>
      </c>
      <c r="B212" s="50" t="n">
        <v>2</v>
      </c>
      <c r="C212" s="185" t="n"/>
      <c r="D212" s="185" t="n"/>
      <c r="E212" s="45" t="inlineStr">
        <is>
          <t>– libraries
库</t>
        </is>
      </c>
      <c r="F212" s="53" t="inlineStr">
        <is>
          <t>not applicable</t>
        </is>
      </c>
      <c r="G212" s="55" t="n"/>
      <c r="H212" s="47" t="n"/>
      <c r="I212" s="47" t="n"/>
      <c r="J212" s="49" t="n"/>
      <c r="K212" s="49" t="n"/>
      <c r="L212" s="49" t="n"/>
      <c r="M212" s="49" t="n"/>
    </row>
    <row r="213" outlineLevel="1" ht="28.5" customFormat="1" customHeight="1" s="36">
      <c r="A213" s="37">
        <f>A209&amp;"_"&amp;B213</f>
        <v/>
      </c>
      <c r="B213" s="42" t="n">
        <v>3</v>
      </c>
      <c r="C213" s="185" t="n"/>
      <c r="D213" s="185" t="n"/>
      <c r="E213" s="45" t="inlineStr">
        <is>
          <t>– middleware
中间件</t>
        </is>
      </c>
      <c r="F213" s="53" t="inlineStr">
        <is>
          <t>not applicable</t>
        </is>
      </c>
      <c r="G213" s="55" t="n"/>
      <c r="H213" s="47" t="n"/>
      <c r="I213" s="47" t="n"/>
      <c r="J213" s="49" t="n"/>
      <c r="K213" s="49" t="n"/>
      <c r="L213" s="49" t="n"/>
      <c r="M213" s="49" t="n"/>
    </row>
    <row r="214" outlineLevel="1" ht="91" customFormat="1" customHeight="1" s="36">
      <c r="A214" s="37">
        <f>A209&amp;"_"&amp;B214</f>
        <v/>
      </c>
      <c r="B214" s="50" t="n">
        <v>4</v>
      </c>
      <c r="C214" s="185" t="n"/>
      <c r="D214" s="185" t="n"/>
      <c r="E214" s="45" t="inlineStr">
        <is>
          <t>– basic software
基本软件</t>
        </is>
      </c>
      <c r="F214" s="45" t="inlineStr">
        <is>
          <t xml:space="preserve">Yes </t>
        </is>
      </c>
      <c r="G214" s="46" t="inlineStr">
        <is>
          <t>NCM模块失效后会导致SPI， CAN ，ADC，WDG，GPIO， PWM，NVM模块无法运行中断任务，违背安全目标SG01,SG02.SG03</t>
        </is>
      </c>
      <c r="H214" s="47" t="inlineStr">
        <is>
          <t xml:space="preserve">1：支持硬线制动灯点亮：
2：支持外部看门狗，对异常中断造成的任务停滞进行复位处理
</t>
        </is>
      </c>
      <c r="I214" s="47" t="inlineStr">
        <is>
          <t>SW_DFA_SM_001
SW_DFA_SM_004</t>
        </is>
      </c>
      <c r="J214" s="48" t="inlineStr">
        <is>
          <t>通过集成测试</t>
        </is>
      </c>
      <c r="K214" s="49" t="inlineStr">
        <is>
          <t>满足ASILB开发和测试</t>
        </is>
      </c>
      <c r="L214" s="49" t="n"/>
      <c r="M214" s="49" t="n"/>
    </row>
    <row r="215" outlineLevel="1" ht="43.5" customFormat="1" customHeight="1" s="36">
      <c r="A215" s="37">
        <f>A209&amp;"_"&amp;B215</f>
        <v/>
      </c>
      <c r="B215" s="42" t="n">
        <v>5</v>
      </c>
      <c r="C215" s="185" t="n"/>
      <c r="D215" s="185" t="n"/>
      <c r="E215" s="45" t="inlineStr">
        <is>
          <t xml:space="preserve">– operating system including scheduler
——包含调度器的操作系统
</t>
        </is>
      </c>
      <c r="F215" s="53" t="inlineStr">
        <is>
          <t>not applicable</t>
        </is>
      </c>
      <c r="G215" s="55" t="n"/>
      <c r="H215" s="47" t="n"/>
      <c r="I215" s="47" t="n"/>
      <c r="J215" s="49" t="n"/>
      <c r="K215" s="49" t="n"/>
      <c r="L215" s="49" t="n"/>
      <c r="M215" s="49" t="n"/>
    </row>
    <row r="216" outlineLevel="1" ht="28.5" customFormat="1" customHeight="1" s="36">
      <c r="A216" s="37">
        <f>A209&amp;"_"&amp;B216</f>
        <v/>
      </c>
      <c r="B216" s="50" t="n">
        <v>6</v>
      </c>
      <c r="C216" s="185" t="n"/>
      <c r="D216" s="185" t="n"/>
      <c r="E216" s="45" t="inlineStr">
        <is>
          <t>– communication stack
通信协议栈</t>
        </is>
      </c>
      <c r="F216" s="53" t="inlineStr">
        <is>
          <t>not applicable</t>
        </is>
      </c>
      <c r="G216" s="46" t="n"/>
      <c r="H216" s="47" t="n"/>
      <c r="I216" s="47" t="n"/>
      <c r="J216" s="48" t="n"/>
      <c r="K216" s="49" t="n"/>
      <c r="L216" s="49" t="n"/>
      <c r="M216" s="49" t="n"/>
    </row>
    <row r="217" outlineLevel="1" ht="29" customFormat="1" customHeight="1" s="36">
      <c r="A217" s="37">
        <f>A209&amp;"_"&amp;B217</f>
        <v/>
      </c>
      <c r="B217" s="42" t="n">
        <v>7</v>
      </c>
      <c r="C217" s="185" t="n"/>
      <c r="D217" s="185" t="n"/>
      <c r="E217" s="45" t="inlineStr">
        <is>
          <t xml:space="preserve">– parameter file参数文件
</t>
        </is>
      </c>
      <c r="F217" s="53" t="inlineStr">
        <is>
          <t>not applicable</t>
        </is>
      </c>
      <c r="G217" s="55" t="n"/>
      <c r="H217" s="47" t="n"/>
      <c r="I217" s="47" t="n"/>
      <c r="J217" s="49" t="n"/>
      <c r="K217" s="49" t="n"/>
      <c r="L217" s="49" t="n"/>
      <c r="M217" s="49" t="n"/>
    </row>
    <row r="218" outlineLevel="1" ht="28.5" customFormat="1" customHeight="1" s="36">
      <c r="A218" s="37">
        <f>A209&amp;"_"&amp;B218</f>
        <v/>
      </c>
      <c r="B218" s="50" t="n">
        <v>8</v>
      </c>
      <c r="C218" s="185" t="n"/>
      <c r="D218" s="185" t="n"/>
      <c r="E218" s="45" t="inlineStr">
        <is>
          <t>– execution time
执行时间</t>
        </is>
      </c>
      <c r="F218" s="53" t="inlineStr">
        <is>
          <t>not applicable</t>
        </is>
      </c>
      <c r="G218" s="55" t="n"/>
      <c r="H218" s="47" t="n"/>
      <c r="I218" s="47" t="n"/>
      <c r="J218" s="49" t="n"/>
      <c r="K218" s="49" t="n"/>
      <c r="L218" s="49" t="n"/>
      <c r="M218" s="49" t="n"/>
    </row>
    <row r="219" outlineLevel="1" ht="14.5" customFormat="1" customHeight="1" s="36">
      <c r="A219" s="37">
        <f>A209&amp;"_"&amp;B219</f>
        <v/>
      </c>
      <c r="B219" s="42" t="n">
        <v>9</v>
      </c>
      <c r="C219" s="186" t="n"/>
      <c r="D219" s="186" t="n"/>
      <c r="E219" s="45" t="inlineStr">
        <is>
          <t>– allocated memory</t>
        </is>
      </c>
      <c r="F219" s="53" t="inlineStr">
        <is>
          <t>not applicable</t>
        </is>
      </c>
      <c r="G219" s="55" t="n"/>
      <c r="H219" s="47" t="n"/>
      <c r="I219" s="47" t="n"/>
      <c r="J219" s="49" t="n"/>
      <c r="K219" s="49" t="n"/>
      <c r="L219" s="49" t="n"/>
      <c r="M219" s="49" t="n"/>
    </row>
    <row r="220" outlineLevel="1" ht="28.5" customFormat="1" customHeight="1" s="36">
      <c r="A220" s="37">
        <f>A209&amp;"_"&amp;B220</f>
        <v/>
      </c>
      <c r="B220" s="50" t="n">
        <v>10</v>
      </c>
      <c r="C220" s="187" t="inlineStr">
        <is>
          <t>Components of
identical type</t>
        </is>
      </c>
      <c r="D220" s="187" t="inlineStr">
        <is>
          <t>Identical components may fail with higher probability simultaneously (common mode failures)</t>
        </is>
      </c>
      <c r="E220" s="45" t="inlineStr">
        <is>
          <t>• Reused standard software modules
重复使用的标准软件模块</t>
        </is>
      </c>
      <c r="F220" s="53" t="inlineStr">
        <is>
          <t>not applicable</t>
        </is>
      </c>
      <c r="G220" s="46" t="n"/>
      <c r="H220" s="47" t="n"/>
      <c r="I220" s="47" t="n"/>
      <c r="J220" s="48" t="n"/>
      <c r="K220" s="49" t="n"/>
      <c r="L220" s="49" t="n"/>
      <c r="M220" s="49" t="n"/>
    </row>
    <row r="221" outlineLevel="1" ht="91" customFormat="1" customHeight="1" s="36">
      <c r="A221" s="37">
        <f>A209&amp;"_"&amp;B221</f>
        <v/>
      </c>
      <c r="B221" s="42" t="n">
        <v>11</v>
      </c>
      <c r="C221" s="185" t="n"/>
      <c r="D221" s="185" t="n"/>
      <c r="E221" s="45" t="inlineStr">
        <is>
          <t>• Standard library components
标准库组件</t>
        </is>
      </c>
      <c r="F221" s="45" t="inlineStr">
        <is>
          <t xml:space="preserve">Yes </t>
        </is>
      </c>
      <c r="G221" s="46" t="inlineStr">
        <is>
          <t>NCM模块失效后会导致SPI， CAN ，ADC，WDG，GPIO， PWM，NVM模块无法运行中断任务，违背安全目标SG01,SG02.SG03</t>
        </is>
      </c>
      <c r="H221" s="47" t="inlineStr">
        <is>
          <t xml:space="preserve">1：支持硬线制动灯点亮：
2：支持外部看门狗，对异常中断造成的任务停滞进行复位处理
</t>
        </is>
      </c>
      <c r="I221" s="47" t="inlineStr">
        <is>
          <t>SW_DFA_SM_001
SW_DFA_SM_004</t>
        </is>
      </c>
      <c r="J221" s="48" t="inlineStr">
        <is>
          <t>通过集成测试</t>
        </is>
      </c>
      <c r="K221" s="49" t="inlineStr">
        <is>
          <t>满足ASILB开发和测试</t>
        </is>
      </c>
      <c r="L221" s="49" t="n"/>
      <c r="M221" s="49" t="n"/>
    </row>
    <row r="222" outlineLevel="1" ht="28.5" customFormat="1" customHeight="1" s="36">
      <c r="A222" s="37">
        <f>A209&amp;"_"&amp;B222</f>
        <v/>
      </c>
      <c r="B222" s="50" t="n">
        <v>12</v>
      </c>
      <c r="C222" s="185" t="n"/>
      <c r="D222" s="185" t="n"/>
      <c r="E222" s="45" t="inlineStr">
        <is>
          <t>• Middleware
中间件</t>
        </is>
      </c>
      <c r="F222" s="53" t="inlineStr">
        <is>
          <t>not applicable</t>
        </is>
      </c>
      <c r="G222" s="55" t="n"/>
      <c r="H222" s="47" t="n"/>
      <c r="I222" s="47" t="n"/>
      <c r="J222" s="49" t="n"/>
      <c r="K222" s="49" t="n"/>
      <c r="L222" s="49" t="n"/>
      <c r="M222" s="49" t="n"/>
    </row>
    <row r="223" outlineLevel="1" ht="28.5" customFormat="1" customHeight="1" s="36">
      <c r="A223" s="37">
        <f>A209&amp;"_"&amp;B223</f>
        <v/>
      </c>
      <c r="B223" s="42" t="n">
        <v>13</v>
      </c>
      <c r="C223" s="185" t="n"/>
      <c r="D223" s="185" t="n"/>
      <c r="E223" s="45" t="inlineStr">
        <is>
          <t>• Operating system
操作系统</t>
        </is>
      </c>
      <c r="F223" s="53" t="inlineStr">
        <is>
          <t>not applicable</t>
        </is>
      </c>
      <c r="G223" s="55" t="n"/>
      <c r="H223" s="47" t="n"/>
      <c r="I223" s="47" t="n"/>
      <c r="J223" s="49" t="n"/>
      <c r="K223" s="49" t="n"/>
      <c r="L223" s="49" t="n"/>
      <c r="M223" s="49" t="n"/>
    </row>
    <row r="224" outlineLevel="1" ht="28.5" customFormat="1" customHeight="1" s="36">
      <c r="A224" s="37">
        <f>A209&amp;"_"&amp;B224</f>
        <v/>
      </c>
      <c r="B224" s="50" t="n">
        <v>14</v>
      </c>
      <c r="C224" s="185" t="n"/>
      <c r="D224" s="185" t="n"/>
      <c r="E224" s="45" t="inlineStr">
        <is>
          <t>• Communication stack
通信栈</t>
        </is>
      </c>
      <c r="F224" s="53" t="inlineStr">
        <is>
          <t>not applicable</t>
        </is>
      </c>
      <c r="G224" s="55" t="n"/>
      <c r="H224" s="47" t="n"/>
      <c r="I224" s="47" t="n"/>
      <c r="J224" s="49" t="n"/>
      <c r="K224" s="49" t="n"/>
      <c r="L224" s="49" t="n"/>
      <c r="M224" s="49" t="n"/>
    </row>
    <row r="225" outlineLevel="1" ht="58" customFormat="1" customHeight="1" s="36">
      <c r="A225" s="37">
        <f>A209&amp;"_"&amp;B225</f>
        <v/>
      </c>
      <c r="B225" s="42" t="n">
        <v>15</v>
      </c>
      <c r="C225" s="186" t="n"/>
      <c r="D225" s="186" t="n"/>
      <c r="E225" s="45" t="inlineStr">
        <is>
          <t xml:space="preserve">
• Parameter set
参数设置
</t>
        </is>
      </c>
      <c r="F225" s="53" t="inlineStr">
        <is>
          <t>not applicable</t>
        </is>
      </c>
      <c r="G225" s="55" t="n"/>
      <c r="H225" s="47" t="n"/>
      <c r="I225" s="47" t="n"/>
      <c r="J225" s="49" t="n"/>
      <c r="K225" s="49" t="n"/>
      <c r="L225" s="49" t="n"/>
      <c r="M225" s="49" t="n"/>
    </row>
    <row r="226" outlineLevel="1" ht="100.5" customFormat="1" customHeight="1" s="36">
      <c r="A226" s="37">
        <f>A209&amp;"_"&amp;B226</f>
        <v/>
      </c>
      <c r="B226" s="50" t="n">
        <v>16</v>
      </c>
      <c r="C226" s="187" t="inlineStr">
        <is>
          <t>Communication
between the two
functions</t>
        </is>
      </c>
      <c r="D226" s="184" t="inlineStr">
        <is>
          <t>Receiving function is affected by information that is false, lost, sent multiple times, or in the wrong order etc. from the sender</t>
        </is>
      </c>
      <c r="E226"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226" s="53" t="inlineStr">
        <is>
          <t>not applicable</t>
        </is>
      </c>
      <c r="G226" s="55" t="n"/>
      <c r="H226" s="47" t="n"/>
      <c r="I226" s="47" t="n"/>
      <c r="J226" s="49" t="n"/>
      <c r="K226" s="49" t="n"/>
      <c r="L226" s="49" t="n"/>
      <c r="M226" s="49" t="n"/>
    </row>
    <row r="227" outlineLevel="1" ht="72.5" customFormat="1" customHeight="1" s="36">
      <c r="A227" s="37">
        <f>A209&amp;"_"&amp;B227</f>
        <v/>
      </c>
      <c r="B227" s="42" t="n">
        <v>17</v>
      </c>
      <c r="C227" s="185" t="n"/>
      <c r="D227" s="185" t="n"/>
      <c r="E227" s="45" t="inlineStr">
        <is>
          <t>• Data or message corruption/ repetition*/ loss*/ delay*/ masquerading or incorrect addressing of information*
数据或信息的损坏/重复/丢失/延迟/伪装或信息的错误标识*</t>
        </is>
      </c>
      <c r="F227" s="53" t="inlineStr">
        <is>
          <t>not applicable</t>
        </is>
      </c>
      <c r="G227" s="55" t="n"/>
      <c r="H227" s="47" t="n"/>
      <c r="I227" s="47" t="n"/>
      <c r="J227" s="49" t="n"/>
      <c r="K227" s="49" t="n"/>
      <c r="L227" s="49" t="n"/>
      <c r="M227" s="49" t="n"/>
    </row>
    <row r="228" outlineLevel="1" ht="49" customFormat="1" customHeight="1" s="36">
      <c r="A228" s="37">
        <f>A209&amp;"_"&amp;B228</f>
        <v/>
      </c>
      <c r="B228" s="50" t="n">
        <v>18</v>
      </c>
      <c r="C228" s="185" t="n"/>
      <c r="D228" s="185" t="n"/>
      <c r="E228" s="45" t="inlineStr">
        <is>
          <t>• Insertion*/ sequence of information*
插入* / 信息序列*</t>
        </is>
      </c>
      <c r="F228" s="53" t="inlineStr">
        <is>
          <t>not applicable</t>
        </is>
      </c>
      <c r="G228" s="55" t="n"/>
      <c r="H228" s="47" t="n"/>
      <c r="I228" s="47" t="n"/>
      <c r="J228" s="49" t="n"/>
      <c r="K228" s="49" t="n"/>
      <c r="L228" s="49" t="n"/>
      <c r="M228" s="49" t="n"/>
    </row>
    <row r="229" outlineLevel="1" ht="48" customFormat="1" customHeight="1" s="36">
      <c r="A229" s="37">
        <f>A209&amp;"_"&amp;B229</f>
        <v/>
      </c>
      <c r="B229" s="42" t="n">
        <v>19</v>
      </c>
      <c r="C229" s="185" t="n"/>
      <c r="D229" s="185" t="n"/>
      <c r="E229" s="45" t="inlineStr">
        <is>
          <t>• Corruption of information*
信息的失真*</t>
        </is>
      </c>
      <c r="F229" s="53" t="inlineStr">
        <is>
          <t>not applicable</t>
        </is>
      </c>
      <c r="G229" s="55" t="n"/>
      <c r="H229" s="47" t="n"/>
      <c r="I229" s="47" t="n"/>
      <c r="J229" s="49" t="n"/>
      <c r="K229" s="49" t="n"/>
      <c r="L229" s="49" t="n"/>
      <c r="M229" s="49" t="n"/>
    </row>
    <row r="230" outlineLevel="1" ht="48" customFormat="1" customHeight="1" s="36">
      <c r="A230" s="37">
        <f>A209&amp;"_"&amp;B230</f>
        <v/>
      </c>
      <c r="B230" s="50" t="n">
        <v>20</v>
      </c>
      <c r="C230" s="185" t="n"/>
      <c r="D230" s="185" t="n"/>
      <c r="E230" s="45" t="inlineStr">
        <is>
          <t>• Asymmetric information sent from a sender to multiple receivers*
从发送者传向多个接收者的不对称信息*</t>
        </is>
      </c>
      <c r="F230" s="53" t="inlineStr">
        <is>
          <t>not applicable</t>
        </is>
      </c>
      <c r="G230" s="55" t="n"/>
      <c r="H230" s="47" t="n"/>
      <c r="I230" s="47" t="n"/>
      <c r="J230" s="49" t="n"/>
      <c r="K230" s="49" t="n"/>
      <c r="L230" s="49" t="n"/>
      <c r="M230" s="49" t="n"/>
    </row>
    <row r="231" outlineLevel="1" ht="48" customFormat="1" customHeight="1" s="36">
      <c r="A231" s="37">
        <f>A209&amp;"_"&amp;B231</f>
        <v/>
      </c>
      <c r="B231" s="42" t="n">
        <v>21</v>
      </c>
      <c r="C231" s="185" t="n"/>
      <c r="D231" s="185" t="n"/>
      <c r="E231" s="45" t="inlineStr">
        <is>
          <t>• Information from a sender received by only a subset of the receivers*
仅部分接收者接收到的来自发送者的信息*</t>
        </is>
      </c>
      <c r="F231" s="53" t="inlineStr">
        <is>
          <t>not applicable</t>
        </is>
      </c>
      <c r="G231" s="55" t="n"/>
      <c r="H231" s="47" t="n"/>
      <c r="I231" s="47" t="n"/>
      <c r="J231" s="49" t="n"/>
      <c r="K231" s="49" t="n"/>
      <c r="L231" s="49" t="n"/>
      <c r="M231" s="49" t="n"/>
    </row>
    <row r="232" outlineLevel="1" ht="43.5" customFormat="1" customHeight="1" s="36">
      <c r="A232" s="37">
        <f>A209&amp;"_"&amp;B232</f>
        <v/>
      </c>
      <c r="B232" s="50" t="n">
        <v>22</v>
      </c>
      <c r="C232" s="186" t="n"/>
      <c r="D232" s="186" t="n"/>
      <c r="E232" s="45" t="inlineStr">
        <is>
          <t>• Blocking access to a communication channel*
阻止对通信通道的访问*</t>
        </is>
      </c>
      <c r="F232" s="53" t="inlineStr">
        <is>
          <t>not applicable</t>
        </is>
      </c>
      <c r="G232" s="46" t="n"/>
      <c r="H232" s="47" t="n"/>
      <c r="I232" s="47" t="n"/>
      <c r="J232" s="48" t="n"/>
      <c r="K232" s="49" t="n"/>
      <c r="L232" s="49" t="n"/>
      <c r="M232" s="49" t="n"/>
    </row>
    <row r="233" outlineLevel="1" ht="45" customFormat="1" customHeight="1" s="36">
      <c r="A233" s="37">
        <f>A209&amp;"_"&amp;B233</f>
        <v/>
      </c>
      <c r="B233" s="42" t="n">
        <v>23</v>
      </c>
      <c r="C233" s="187" t="inlineStr">
        <is>
          <t>Shared information
inputs</t>
        </is>
      </c>
      <c r="D233" s="187" t="inlineStr">
        <is>
          <t>Same information consumed by the two functions even in absence of shared resources, i.e. from a functional perspective</t>
        </is>
      </c>
      <c r="E233" s="45" t="inlineStr">
        <is>
          <t>• Calibration parameters
标准参数</t>
        </is>
      </c>
      <c r="F233" s="53" t="inlineStr">
        <is>
          <t>not applicable</t>
        </is>
      </c>
      <c r="G233" s="55" t="n"/>
      <c r="H233" s="47" t="n"/>
      <c r="I233" s="47" t="n"/>
      <c r="J233" s="49" t="n"/>
      <c r="K233" s="49" t="n"/>
      <c r="L233" s="49" t="n"/>
      <c r="M233" s="49" t="n"/>
    </row>
    <row r="234" outlineLevel="1" ht="57" customFormat="1" customHeight="1" s="36">
      <c r="A234" s="37">
        <f>A209&amp;"_"&amp;B234</f>
        <v/>
      </c>
      <c r="B234" s="50" t="n">
        <v>24</v>
      </c>
      <c r="C234" s="185" t="n"/>
      <c r="D234" s="185" t="n"/>
      <c r="E234" s="45" t="inlineStr">
        <is>
          <t>• Constants, or variables, being global to the two software functions
常量或变量对于这两个软件功能而言是全局性的。</t>
        </is>
      </c>
      <c r="F234" s="53" t="inlineStr">
        <is>
          <t>not applicable</t>
        </is>
      </c>
      <c r="G234" s="55" t="n"/>
      <c r="H234" s="47" t="n"/>
      <c r="I234" s="47" t="n"/>
      <c r="J234" s="49" t="n"/>
      <c r="K234" s="49" t="n"/>
      <c r="L234" s="49" t="n"/>
      <c r="M234" s="49" t="n"/>
    </row>
    <row r="235" outlineLevel="1" ht="100" customFormat="1" customHeight="1" s="36">
      <c r="A235" s="37">
        <f>A209&amp;"_"&amp;B235</f>
        <v/>
      </c>
      <c r="B235" s="42" t="n">
        <v>25</v>
      </c>
      <c r="C235" s="185" t="n"/>
      <c r="D235" s="185" t="n"/>
      <c r="E235" s="45" t="inlineStr">
        <is>
          <t>• Basic software passes data (read from hardware register and converted into logical information) to two application software functions
基础软件会将数据（从硬件寄存器读取并转换为逻辑信息）传递给两个应用程序软件功能。</t>
        </is>
      </c>
      <c r="F235" s="53" t="inlineStr">
        <is>
          <t>not applicable</t>
        </is>
      </c>
      <c r="G235" s="55" t="n"/>
      <c r="H235" s="47" t="n"/>
      <c r="I235" s="47" t="n"/>
      <c r="J235" s="49" t="n"/>
      <c r="K235" s="49" t="n"/>
      <c r="L235" s="49" t="n"/>
      <c r="M235" s="49" t="n"/>
    </row>
    <row r="236" outlineLevel="1" ht="115.5" customFormat="1" customHeight="1" s="36">
      <c r="A236" s="37">
        <f>A209&amp;"_"&amp;B236</f>
        <v/>
      </c>
      <c r="B236" s="50" t="n">
        <v>26</v>
      </c>
      <c r="C236" s="186" t="n"/>
      <c r="D236" s="186" t="n"/>
      <c r="E236"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236" s="53" t="inlineStr">
        <is>
          <t>not applicable</t>
        </is>
      </c>
      <c r="G236" s="55" t="n"/>
      <c r="H236" s="47" t="n"/>
      <c r="I236" s="47" t="n"/>
      <c r="J236" s="49" t="n"/>
      <c r="K236" s="49" t="n"/>
      <c r="L236" s="49" t="n"/>
      <c r="M236" s="49" t="n"/>
    </row>
    <row r="237" outlineLevel="1" ht="68.5" customFormat="1" customHeight="1" s="36">
      <c r="A237" s="37">
        <f>A209&amp;"_"&amp;B237</f>
        <v/>
      </c>
      <c r="B237" s="42" t="n">
        <v>27</v>
      </c>
      <c r="C237" s="187" t="inlineStr">
        <is>
          <t>Environmental
influences</t>
        </is>
      </c>
      <c r="D237" s="184" t="inlineStr">
        <is>
          <t>Common external environmental disturbance affects both functions</t>
        </is>
      </c>
      <c r="E237" s="45" t="inlineStr">
        <is>
          <t xml:space="preserve">System-level: mechanical shock, water ingress
 系统层面：机械震动、进水                                                                                                                                                                </t>
        </is>
      </c>
      <c r="F237" s="53" t="inlineStr">
        <is>
          <t>not applicable</t>
        </is>
      </c>
      <c r="G237" s="55" t="n"/>
      <c r="H237" s="47" t="n"/>
      <c r="I237" s="47" t="n"/>
      <c r="J237" s="49" t="n"/>
      <c r="K237" s="49" t="n"/>
      <c r="L237" s="49" t="n"/>
      <c r="M237" s="49" t="n"/>
    </row>
    <row r="238" outlineLevel="1" ht="28.5" customFormat="1" customHeight="1" s="36">
      <c r="A238" s="37">
        <f>A209&amp;"_"&amp;B238</f>
        <v/>
      </c>
      <c r="B238" s="50" t="n">
        <v>28</v>
      </c>
      <c r="C238" s="185" t="n"/>
      <c r="D238" s="185" t="n"/>
      <c r="E238" s="45" t="inlineStr">
        <is>
          <t>Software-level: not applicable for Software
软件层面：不适用于软件</t>
        </is>
      </c>
      <c r="F238" s="53" t="inlineStr">
        <is>
          <t>not applicable</t>
        </is>
      </c>
      <c r="G238" s="55" t="n"/>
      <c r="H238" s="47" t="n"/>
      <c r="I238" s="47" t="n"/>
      <c r="J238" s="49" t="n"/>
      <c r="K238" s="49" t="n"/>
      <c r="L238" s="49" t="n"/>
      <c r="M238" s="49" t="n"/>
    </row>
    <row r="239" outlineLevel="1" ht="43" customFormat="1" customHeight="1" s="36">
      <c r="A239" s="37">
        <f>A209&amp;"_"&amp;B239</f>
        <v/>
      </c>
      <c r="B239" s="42" t="n">
        <v>29</v>
      </c>
      <c r="C239" s="186" t="n"/>
      <c r="D239" s="186" t="n"/>
      <c r="E239" s="45" t="inlineStr">
        <is>
          <t>Hardware-level: under and over voltage of the power supply        
硬件层面：电源的欠压和过压情况</t>
        </is>
      </c>
      <c r="F239" s="53" t="inlineStr">
        <is>
          <t>not applicable</t>
        </is>
      </c>
      <c r="G239" s="55" t="n"/>
      <c r="H239" s="47" t="n"/>
      <c r="I239" s="47" t="n"/>
      <c r="J239" s="49" t="n"/>
      <c r="K239" s="49" t="n"/>
      <c r="L239" s="49" t="n"/>
      <c r="M239" s="49" t="n"/>
    </row>
    <row r="240" outlineLevel="1" ht="91" customFormat="1" customHeight="1" s="36">
      <c r="A240" s="37">
        <f>A209&amp;"_"&amp;B240</f>
        <v/>
      </c>
      <c r="B240" s="50" t="n">
        <v>30</v>
      </c>
      <c r="C240" s="187" t="inlineStr">
        <is>
          <t>Unintended impact</t>
        </is>
      </c>
      <c r="D240" s="187" t="inlineStr">
        <is>
          <t>Two functions affecting each other’s elements directly via an implicit, that is unintended interface.</t>
        </is>
      </c>
      <c r="E240" s="45" t="inlineStr">
        <is>
          <t>• Memory / corruption of content*
– “wild pointers“ (including program counter stack)
内存/内容损坏*
——“失控指针”（包括程序计数器栈</t>
        </is>
      </c>
      <c r="F240" s="45" t="inlineStr">
        <is>
          <t xml:space="preserve">Yes </t>
        </is>
      </c>
      <c r="G240" s="46" t="inlineStr">
        <is>
          <t>NCM模块失效后会导致SPI， CAN ，ADC，WDG，GPIO， PWM，NVM模块无法运行中断任务，违背安全目标SG01,SG02.SG03</t>
        </is>
      </c>
      <c r="H240" s="47" t="inlineStr">
        <is>
          <t xml:space="preserve">1：支持硬线制动灯点亮：
2：支持外部看门狗，对异常中断造成的任务停滞进行复位处理
</t>
        </is>
      </c>
      <c r="I240" s="47" t="inlineStr">
        <is>
          <t>SW_DFA_SM_001
SW_DFA_SM_004</t>
        </is>
      </c>
      <c r="J240" s="48" t="inlineStr">
        <is>
          <t>通过集成测试</t>
        </is>
      </c>
      <c r="K240" s="49" t="inlineStr">
        <is>
          <t>满足ASILB开发和测试</t>
        </is>
      </c>
      <c r="L240" s="49" t="n"/>
      <c r="M240" s="49" t="n"/>
    </row>
    <row r="241" outlineLevel="1" ht="91" customFormat="1" customHeight="1" s="36">
      <c r="A241" s="37">
        <f>A209&amp;"_"&amp;B241</f>
        <v/>
      </c>
      <c r="B241" s="42" t="n">
        <v>31</v>
      </c>
      <c r="C241" s="185" t="n"/>
      <c r="D241" s="185" t="n"/>
      <c r="E241" s="45" t="inlineStr">
        <is>
          <t>– memory mis-allocation
——内存分配错误</t>
        </is>
      </c>
      <c r="F241" s="45" t="inlineStr">
        <is>
          <t xml:space="preserve">Yes </t>
        </is>
      </c>
      <c r="G241" s="46" t="inlineStr">
        <is>
          <t>NCM模块失效后会导致SPI， CAN ，ADC，WDG，GPIO， PWM，NVM模块无法运行中断任务，违背安全目标SG01,SG02.SG03</t>
        </is>
      </c>
      <c r="H241" s="47" t="inlineStr">
        <is>
          <t xml:space="preserve">1：支持硬线制动灯点亮：
2：支持外部看门狗，对异常中断造成的任务停滞进行复位处理
</t>
        </is>
      </c>
      <c r="I241" s="47" t="inlineStr">
        <is>
          <t>SW_DFA_SM_001
SW_DFA_SM_004</t>
        </is>
      </c>
      <c r="J241" s="48" t="inlineStr">
        <is>
          <t>通过集成测试</t>
        </is>
      </c>
      <c r="K241" s="49" t="inlineStr">
        <is>
          <t>满足ASILB开发和测试</t>
        </is>
      </c>
      <c r="L241" s="49" t="n"/>
      <c r="M241" s="49" t="n"/>
    </row>
    <row r="242" outlineLevel="1" ht="91" customFormat="1" customHeight="1" s="36">
      <c r="A242" s="37">
        <f>A209&amp;"_"&amp;B242</f>
        <v/>
      </c>
      <c r="B242" s="50" t="n">
        <v>32</v>
      </c>
      <c r="C242" s="185" t="n"/>
      <c r="D242" s="185" t="n"/>
      <c r="E242" s="45" t="inlineStr">
        <is>
          <t>– memory leaks
内存泄漏</t>
        </is>
      </c>
      <c r="F242" s="45" t="inlineStr">
        <is>
          <t xml:space="preserve">Yes </t>
        </is>
      </c>
      <c r="G242" s="46" t="inlineStr">
        <is>
          <t>NCM模块失效后会导致SPI， CAN ，ADC，WDG，GPIO， PWM，NVM模块无法运行中断任务，违背安全目标SG01,SG02.SG03</t>
        </is>
      </c>
      <c r="H242" s="47" t="inlineStr">
        <is>
          <t xml:space="preserve">1：支持硬线制动灯点亮：
2：支持外部看门狗，对异常中断造成的任务停滞进行复位处理
</t>
        </is>
      </c>
      <c r="I242" s="47" t="inlineStr">
        <is>
          <t>SW_DFA_SM_001
SW_DFA_SM_004</t>
        </is>
      </c>
      <c r="J242" s="48" t="inlineStr">
        <is>
          <t>通过集成测试</t>
        </is>
      </c>
      <c r="K242" s="49" t="inlineStr">
        <is>
          <t>满足ASILB开发和测试</t>
        </is>
      </c>
      <c r="L242" s="49" t="n"/>
      <c r="M242" s="49" t="n"/>
    </row>
    <row r="243" outlineLevel="1" ht="58" customFormat="1" customHeight="1" s="36">
      <c r="A243" s="37">
        <f>A209&amp;"_"&amp;B243</f>
        <v/>
      </c>
      <c r="B243" s="42" t="n">
        <v>33</v>
      </c>
      <c r="C243" s="185" t="n"/>
      <c r="D243" s="185" t="n"/>
      <c r="E243" s="45" t="inlineStr">
        <is>
          <t>– read/write access to memory allocated to another software element*
—— 对分配给其他软件组件的内存的读/写访问权限*</t>
        </is>
      </c>
      <c r="F243" s="53" t="inlineStr">
        <is>
          <t>not applicable</t>
        </is>
      </c>
      <c r="G243" s="55" t="n"/>
      <c r="H243" s="47" t="n"/>
      <c r="I243" s="47" t="n"/>
      <c r="J243" s="49" t="n"/>
      <c r="K243" s="49" t="n"/>
      <c r="L243" s="49" t="n"/>
      <c r="M243" s="49" t="n"/>
    </row>
    <row r="244" outlineLevel="1" ht="29" customFormat="1" customHeight="1" s="36">
      <c r="A244" s="37">
        <f>A209&amp;"_"&amp;B244</f>
        <v/>
      </c>
      <c r="B244" s="50" t="n">
        <v>34</v>
      </c>
      <c r="C244" s="185" t="n"/>
      <c r="D244" s="185" t="n"/>
      <c r="E244" s="45" t="inlineStr">
        <is>
          <t>– buffer under-/overflow
– 缓冲区下溢/上溢</t>
        </is>
      </c>
      <c r="F244" s="53" t="inlineStr">
        <is>
          <t>not applicable</t>
        </is>
      </c>
      <c r="G244" s="55" t="n"/>
      <c r="H244" s="47" t="n"/>
      <c r="I244" s="47" t="n"/>
      <c r="J244" s="49" t="n"/>
      <c r="K244" s="49" t="n"/>
      <c r="L244" s="49" t="n"/>
      <c r="M244" s="49" t="n"/>
    </row>
    <row r="245" outlineLevel="1" ht="57.5" customFormat="1" customHeight="1" s="36">
      <c r="A245" s="37">
        <f>A209&amp;"_"&amp;B245</f>
        <v/>
      </c>
      <c r="B245" s="42" t="n">
        <v>35</v>
      </c>
      <c r="C245" s="185" t="n"/>
      <c r="D245" s="185" t="n"/>
      <c r="E245" s="45" t="inlineStr">
        <is>
          <t>• Timing and execution
– deadlocks*
时机与执行
——死锁*</t>
        </is>
      </c>
      <c r="F245" s="53" t="inlineStr">
        <is>
          <t>not applicable</t>
        </is>
      </c>
      <c r="G245" s="55" t="n"/>
      <c r="H245" s="47" t="n"/>
      <c r="I245" s="47" t="n"/>
      <c r="J245" s="49" t="n"/>
      <c r="K245" s="49" t="n"/>
      <c r="L245" s="49" t="n"/>
      <c r="M245" s="49" t="n"/>
    </row>
    <row r="246" outlineLevel="1" ht="28.5" customFormat="1" customHeight="1" s="36">
      <c r="A246" s="37">
        <f>A209&amp;"_"&amp;B246</f>
        <v/>
      </c>
      <c r="B246" s="50" t="n">
        <v>36</v>
      </c>
      <c r="C246" s="185" t="n"/>
      <c r="D246" s="185" t="n"/>
      <c r="E246" s="45" t="inlineStr">
        <is>
          <t>– livelocks*
活锁</t>
        </is>
      </c>
      <c r="F246" s="53" t="inlineStr">
        <is>
          <t>not applicable</t>
        </is>
      </c>
      <c r="G246" s="55" t="n"/>
      <c r="H246" s="47" t="n"/>
      <c r="I246" s="47" t="n"/>
      <c r="J246" s="49" t="n"/>
      <c r="K246" s="49" t="n"/>
      <c r="L246" s="49" t="n"/>
      <c r="M246" s="49" t="n"/>
    </row>
    <row r="247" outlineLevel="1" ht="29" customFormat="1" customHeight="1" s="36">
      <c r="A247" s="37">
        <f>A209&amp;"_"&amp;B247</f>
        <v/>
      </c>
      <c r="B247" s="42" t="n">
        <v>37</v>
      </c>
      <c r="C247" s="185" t="n"/>
      <c r="D247" s="185" t="n"/>
      <c r="E247" s="45" t="inlineStr">
        <is>
          <t>– incorrect allocation of execution time*
——执行时间分配不当*</t>
        </is>
      </c>
      <c r="F247" s="53" t="inlineStr">
        <is>
          <t>not applicable</t>
        </is>
      </c>
      <c r="G247" s="55" t="n"/>
      <c r="H247" s="47" t="n"/>
      <c r="I247" s="47" t="n"/>
      <c r="J247" s="49" t="n"/>
      <c r="K247" s="49" t="n"/>
      <c r="L247" s="49" t="n"/>
      <c r="M247" s="49" t="n"/>
    </row>
    <row r="248" outlineLevel="1" ht="43.5" customFormat="1" customHeight="1" s="36">
      <c r="A248" s="37">
        <f>A209&amp;"_"&amp;B248</f>
        <v/>
      </c>
      <c r="B248" s="50" t="n">
        <v>38</v>
      </c>
      <c r="C248" s="186" t="n"/>
      <c r="D248" s="186" t="n"/>
      <c r="E248" s="45" t="inlineStr">
        <is>
          <t>– incorrect synchronization between software elements*
——软件各组成部分之间的同步不正确*</t>
        </is>
      </c>
      <c r="F248" s="53" t="inlineStr">
        <is>
          <t>not applicable</t>
        </is>
      </c>
      <c r="G248" s="46" t="n"/>
      <c r="H248" s="47" t="n"/>
      <c r="I248" s="47" t="n"/>
      <c r="J248" s="48" t="n"/>
      <c r="K248" s="49" t="n"/>
      <c r="L248" s="49" t="n"/>
      <c r="M248" s="49" t="n"/>
    </row>
    <row r="249" outlineLevel="1" ht="72" customFormat="1" customHeight="1" s="36">
      <c r="A249" s="37">
        <f>A209&amp;"_"&amp;B249</f>
        <v/>
      </c>
      <c r="B249" s="42" t="n">
        <v>39</v>
      </c>
      <c r="C249" s="187" t="inlineStr">
        <is>
          <t>Systematic coupling</t>
        </is>
      </c>
      <c r="D249" s="187" t="inlineStr">
        <is>
          <t>Systematic causes from human or tool errors can lead to the simultaneous failure of more than one function</t>
        </is>
      </c>
      <c r="E249" s="45" t="inlineStr">
        <is>
          <t>• Manufacturing fault / repair fault (e.g. false flashing, false calibration reference for sensors)
制造故障/维修故障（例如：错误的闪烁现象、传感器的错误校准参考值）</t>
        </is>
      </c>
      <c r="F249" s="53" t="inlineStr">
        <is>
          <t>not applicable</t>
        </is>
      </c>
      <c r="G249" s="55" t="n"/>
      <c r="H249" s="47" t="n"/>
      <c r="I249" s="47" t="n"/>
      <c r="J249" s="49" t="n"/>
      <c r="K249" s="49" t="n"/>
      <c r="L249" s="49" t="n"/>
      <c r="M249" s="49" t="n"/>
    </row>
    <row r="250" outlineLevel="1" ht="115.5" customFormat="1" customHeight="1" s="36">
      <c r="A250" s="37">
        <f>A209&amp;"_"&amp;B250</f>
        <v/>
      </c>
      <c r="B250" s="50" t="n">
        <v>40</v>
      </c>
      <c r="C250" s="185" t="n"/>
      <c r="D250" s="185" t="n"/>
      <c r="E250" s="61" t="inlineStr">
        <is>
          <t xml:space="preserve">• Non-diverse development approaches including:
– same software tools (e.g. IDE, compiler, linker)
非多元化的发展方式包括：
——相同的软件工具（例如集成开发环境、编译器、链接器）
</t>
        </is>
      </c>
      <c r="F250" s="45" t="inlineStr">
        <is>
          <t xml:space="preserve">Yes </t>
        </is>
      </c>
      <c r="G250" s="62" t="inlineStr">
        <is>
          <t>代码异常导致的违背安全目标</t>
        </is>
      </c>
      <c r="H250" s="63" t="inlineStr">
        <is>
          <t>工具鉴定</t>
        </is>
      </c>
      <c r="I250" s="63" t="n"/>
      <c r="J250" s="49" t="inlineStr">
        <is>
          <t>通过集成测试</t>
        </is>
      </c>
      <c r="K250" s="68" t="inlineStr">
        <is>
          <t>满足ASILB开发和测试</t>
        </is>
      </c>
      <c r="L250" s="68" t="n"/>
      <c r="M250" s="49" t="n"/>
    </row>
    <row r="251" outlineLevel="1" ht="28.5" customFormat="1" customHeight="1" s="36">
      <c r="A251" s="37">
        <f>A209&amp;"_"&amp;B251</f>
        <v/>
      </c>
      <c r="B251" s="42" t="n">
        <v>41</v>
      </c>
      <c r="C251" s="185" t="n"/>
      <c r="D251" s="185" t="n"/>
      <c r="E251" s="61" t="inlineStr">
        <is>
          <t>– same algorithms
相同的算法</t>
        </is>
      </c>
      <c r="F251" s="53" t="inlineStr">
        <is>
          <t>not applicable</t>
        </is>
      </c>
      <c r="G251" s="55" t="n"/>
      <c r="H251" s="47" t="n"/>
      <c r="I251" s="47" t="n"/>
      <c r="J251" s="49" t="n"/>
      <c r="K251" s="49" t="n"/>
      <c r="L251" s="49" t="n"/>
      <c r="M251" s="49" t="n"/>
    </row>
    <row r="252" outlineLevel="1" ht="43.5" customFormat="1" customHeight="1" s="36">
      <c r="A252" s="37">
        <f>A209&amp;"_"&amp;B252</f>
        <v/>
      </c>
      <c r="B252" s="50" t="n">
        <v>42</v>
      </c>
      <c r="C252" s="185" t="n"/>
      <c r="D252" s="185" t="n"/>
      <c r="E252" s="61" t="inlineStr">
        <is>
          <t>– same programming and/or modelling language used
所使用的编程和/或建模语言相同</t>
        </is>
      </c>
      <c r="F252" s="45" t="inlineStr">
        <is>
          <t xml:space="preserve">Yes </t>
        </is>
      </c>
      <c r="G252" s="62" t="inlineStr">
        <is>
          <t>代码异常导致的违背安全目标</t>
        </is>
      </c>
      <c r="H252" s="63" t="inlineStr">
        <is>
          <t>工具鉴定</t>
        </is>
      </c>
      <c r="I252" s="47" t="n"/>
      <c r="J252" s="49" t="inlineStr">
        <is>
          <t>通过集成测试</t>
        </is>
      </c>
      <c r="K252" s="49" t="inlineStr">
        <is>
          <t>满足ASILB开发和测试</t>
        </is>
      </c>
      <c r="L252" s="49" t="n"/>
      <c r="M252" s="49" t="n"/>
    </row>
    <row r="253" outlineLevel="1" ht="29" customFormat="1" customHeight="1" s="36">
      <c r="A253" s="37">
        <f>A209&amp;"_"&amp;B253</f>
        <v/>
      </c>
      <c r="B253" s="42" t="n">
        <v>43</v>
      </c>
      <c r="C253" s="185" t="n"/>
      <c r="D253" s="185" t="n"/>
      <c r="E253" s="61" t="inlineStr">
        <is>
          <t>– same complier/linker used
使用的是相同的编译器/链接器</t>
        </is>
      </c>
      <c r="F253" s="45" t="inlineStr">
        <is>
          <t xml:space="preserve">Yes </t>
        </is>
      </c>
      <c r="G253" s="62" t="inlineStr">
        <is>
          <t>代码异常导致的违背安全目标</t>
        </is>
      </c>
      <c r="H253" s="63" t="inlineStr">
        <is>
          <t>工具鉴定</t>
        </is>
      </c>
      <c r="I253" s="47" t="n"/>
      <c r="J253" s="49" t="inlineStr">
        <is>
          <t>通过集成测试</t>
        </is>
      </c>
      <c r="K253" s="49" t="inlineStr">
        <is>
          <t>满足ASILB开发和测试</t>
        </is>
      </c>
      <c r="L253" s="49" t="n"/>
      <c r="M253" s="49" t="n"/>
    </row>
    <row r="254" outlineLevel="1" ht="28.5" customFormat="1" customHeight="1" s="36">
      <c r="A254" s="37">
        <f>A209&amp;"_"&amp;B254</f>
        <v/>
      </c>
      <c r="B254" s="50" t="n">
        <v>44</v>
      </c>
      <c r="C254" s="185" t="n"/>
      <c r="D254" s="185" t="n"/>
      <c r="E254" s="45" t="inlineStr">
        <is>
          <t>• Same personnel
相同人员</t>
        </is>
      </c>
      <c r="F254" s="53" t="inlineStr">
        <is>
          <t>not applicable</t>
        </is>
      </c>
      <c r="G254" s="55" t="n"/>
      <c r="H254" s="47" t="n"/>
      <c r="I254" s="47" t="n"/>
      <c r="J254" s="49" t="n"/>
      <c r="K254" s="49" t="n"/>
      <c r="L254" s="49" t="n"/>
      <c r="M254" s="49" t="n"/>
    </row>
    <row r="255" outlineLevel="1" ht="57" customFormat="1" customHeight="1" s="36">
      <c r="A255" s="37">
        <f>A209&amp;"_"&amp;B255</f>
        <v/>
      </c>
      <c r="B255" s="42" t="n">
        <v>45</v>
      </c>
      <c r="C255" s="185" t="n"/>
      <c r="D255" s="185" t="n"/>
      <c r="E255" s="45" t="inlineStr">
        <is>
          <t>• Same social-cultural context (even if different personnel)
相同的社会文化背景（即便人员有所不同）</t>
        </is>
      </c>
      <c r="F255" s="53" t="inlineStr">
        <is>
          <t>not applicable</t>
        </is>
      </c>
      <c r="G255" s="55" t="n"/>
      <c r="H255" s="47" t="n"/>
      <c r="I255" s="47" t="n"/>
      <c r="J255" s="49" t="n"/>
      <c r="K255" s="49" t="n"/>
      <c r="L255" s="49" t="n"/>
      <c r="M255" s="49" t="n"/>
    </row>
    <row r="256" outlineLevel="1" ht="57.5" customFormat="1" customHeight="1" s="36">
      <c r="A256" s="37">
        <f>A209&amp;"_"&amp;B256</f>
        <v/>
      </c>
      <c r="B256" s="50" t="n">
        <v>46</v>
      </c>
      <c r="C256" s="185" t="n"/>
      <c r="D256" s="185" t="n"/>
      <c r="E256" s="45" t="inlineStr">
        <is>
          <t>• Development fault, e.g.
– human error
开发失误，例如：
– 人为错误</t>
        </is>
      </c>
      <c r="F256" s="53" t="inlineStr">
        <is>
          <t>not applicable</t>
        </is>
      </c>
      <c r="G256" s="55" t="n"/>
      <c r="H256" s="47" t="n"/>
      <c r="I256" s="47" t="n"/>
      <c r="J256" s="49" t="n"/>
      <c r="K256" s="49" t="n"/>
      <c r="L256" s="49" t="n"/>
      <c r="M256" s="49" t="n"/>
    </row>
    <row r="257" outlineLevel="1" ht="28.5" customFormat="1" customHeight="1" s="36">
      <c r="A257" s="37">
        <f>A209&amp;"_"&amp;B257</f>
        <v/>
      </c>
      <c r="B257" s="42" t="n">
        <v>47</v>
      </c>
      <c r="C257" s="185" t="n"/>
      <c r="D257" s="185" t="n"/>
      <c r="E257" s="45" t="inlineStr">
        <is>
          <t>– insufficiently qualified personnel
资质不足的人员</t>
        </is>
      </c>
      <c r="F257" s="53" t="inlineStr">
        <is>
          <t>not applicable</t>
        </is>
      </c>
      <c r="G257" s="55" t="n"/>
      <c r="H257" s="47" t="n"/>
      <c r="I257" s="47" t="n"/>
      <c r="J257" s="49" t="n"/>
      <c r="K257" s="49" t="n"/>
      <c r="L257" s="49" t="n"/>
      <c r="M257" s="49" t="n"/>
    </row>
    <row r="258" outlineLevel="1" ht="28.5" customFormat="1" customHeight="1" s="36">
      <c r="A258" s="37">
        <f>A209&amp;"_"&amp;B258</f>
        <v/>
      </c>
      <c r="B258" s="50" t="n">
        <v>48</v>
      </c>
      <c r="C258" s="185" t="n"/>
      <c r="D258" s="185" t="n"/>
      <c r="E258" s="45" t="inlineStr">
        <is>
          <t>– process weaknesses
处理弱点</t>
        </is>
      </c>
      <c r="F258" s="53" t="inlineStr">
        <is>
          <t>not applicable</t>
        </is>
      </c>
      <c r="G258" s="55" t="n"/>
      <c r="H258" s="47" t="n"/>
      <c r="I258" s="47" t="n"/>
      <c r="J258" s="49" t="n"/>
      <c r="K258" s="49" t="n"/>
      <c r="L258" s="49" t="n"/>
      <c r="M258" s="49" t="n"/>
    </row>
    <row r="259" outlineLevel="1" ht="14.5" customFormat="1" customHeight="1" s="36">
      <c r="A259" s="37">
        <f>A209&amp;"_"&amp;B259</f>
        <v/>
      </c>
      <c r="B259" s="42" t="n">
        <v>49</v>
      </c>
      <c r="C259" s="186" t="n"/>
      <c r="D259" s="186" t="n"/>
      <c r="E259" s="45" t="inlineStr">
        <is>
          <t>– insufficient methods方法不足</t>
        </is>
      </c>
      <c r="F259" s="53" t="inlineStr">
        <is>
          <t>not applicable</t>
        </is>
      </c>
      <c r="G259" s="55" t="n"/>
      <c r="H259" s="47" t="n"/>
      <c r="I259" s="47" t="n"/>
      <c r="J259" s="49" t="n"/>
      <c r="K259" s="49" t="n"/>
      <c r="L259" s="49" t="n"/>
      <c r="M259" s="49" t="n"/>
    </row>
    <row r="260" ht="75" customFormat="1" customHeight="1" s="36">
      <c r="A260" s="67">
        <f>'Top Event'!B9</f>
        <v/>
      </c>
      <c r="B260" s="67" t="n"/>
      <c r="C260" s="67">
        <f>'Top Event'!C9</f>
        <v/>
      </c>
      <c r="D260" s="67">
        <f>'Top Event'!D9</f>
        <v/>
      </c>
      <c r="E260" s="67">
        <f>'Top Event'!E9</f>
        <v/>
      </c>
      <c r="F260" s="66" t="n"/>
      <c r="G260" s="66" t="n"/>
      <c r="H260" s="64" t="n"/>
      <c r="I260" s="64" t="n"/>
      <c r="J260" s="36" t="n"/>
      <c r="K260" s="36" t="n"/>
      <c r="L260" s="36" t="n"/>
      <c r="M260" s="36" t="n"/>
    </row>
    <row r="261" ht="37.25" customFormat="1" customHeight="1" s="36">
      <c r="A261" s="37" t="n"/>
      <c r="B261" s="37" t="n"/>
      <c r="C261" s="38" t="inlineStr">
        <is>
          <t>DF-I Category</t>
        </is>
      </c>
      <c r="D261" s="38" t="inlineStr">
        <is>
          <t>Interpretation</t>
        </is>
      </c>
      <c r="E261" s="38" t="inlineStr">
        <is>
          <t>DF-Initiator Examples</t>
        </is>
      </c>
      <c r="F261" s="38" t="inlineStr">
        <is>
          <t>Applicable?</t>
        </is>
      </c>
      <c r="G261" s="38" t="inlineStr">
        <is>
          <t>safety  goal related</t>
        </is>
      </c>
      <c r="H261" s="39" t="inlineStr">
        <is>
          <t>Counter Measure</t>
        </is>
      </c>
      <c r="I261" s="39" t="inlineStr">
        <is>
          <t>Counter Measure ID</t>
        </is>
      </c>
      <c r="J261" s="38" t="inlineStr">
        <is>
          <t>Evidence</t>
        </is>
      </c>
      <c r="K261" s="38" t="inlineStr">
        <is>
          <t>sufficient?</t>
        </is>
      </c>
      <c r="L261" s="38" t="n"/>
      <c r="M261" s="41" t="inlineStr">
        <is>
          <t>Comment</t>
        </is>
      </c>
    </row>
    <row r="262" outlineLevel="1" ht="86" customFormat="1" customHeight="1" s="36">
      <c r="A262" s="37">
        <f>A260&amp;"_"&amp;B262</f>
        <v/>
      </c>
      <c r="B262" s="42" t="n">
        <v>1</v>
      </c>
      <c r="C262" s="183" t="inlineStr">
        <is>
          <t>Shared resource</t>
        </is>
      </c>
      <c r="D262" s="184" t="inlineStr">
        <is>
          <t>The same software, hardware, or system element instance used by the two elements which are therefore affected by the failure or unavailability of that shared resource, i.e. from a physical perspective.</t>
        </is>
      </c>
      <c r="E262" s="45" t="inlineStr">
        <is>
          <t>Software component used by more than one other software component, e.g.
– reused standard software modules
被多个其他软件组件所使用的软件组件，例如：
– 重复使用的标准软件模块</t>
        </is>
      </c>
      <c r="F262" s="45" t="inlineStr">
        <is>
          <t xml:space="preserve">Yes </t>
        </is>
      </c>
      <c r="G262" s="46" t="inlineStr">
        <is>
          <t>NA</t>
        </is>
      </c>
      <c r="H262" s="47" t="n"/>
      <c r="I262" s="47" t="n"/>
      <c r="J262" s="48" t="inlineStr">
        <is>
          <t>通过集成测试</t>
        </is>
      </c>
      <c r="K262" s="49" t="inlineStr">
        <is>
          <t>满足ASILB开发和测试</t>
        </is>
      </c>
      <c r="L262" s="49" t="n"/>
      <c r="M262" s="49" t="n"/>
    </row>
    <row r="263" outlineLevel="1" ht="28.5" customFormat="1" customHeight="1" s="36">
      <c r="A263" s="37">
        <f>A260&amp;"_"&amp;B263</f>
        <v/>
      </c>
      <c r="B263" s="50" t="n">
        <v>2</v>
      </c>
      <c r="C263" s="185" t="n"/>
      <c r="D263" s="185" t="n"/>
      <c r="E263" s="45" t="inlineStr">
        <is>
          <t>– libraries
库</t>
        </is>
      </c>
      <c r="F263" s="53" t="inlineStr">
        <is>
          <t>not applicable</t>
        </is>
      </c>
      <c r="G263" s="55" t="n"/>
      <c r="H263" s="47" t="n"/>
      <c r="I263" s="47" t="n"/>
      <c r="J263" s="49" t="n"/>
      <c r="K263" s="49" t="n"/>
      <c r="L263" s="49" t="n"/>
      <c r="M263" s="49" t="n"/>
    </row>
    <row r="264" outlineLevel="1" ht="28.5" customFormat="1" customHeight="1" s="36">
      <c r="A264" s="37">
        <f>A260&amp;"_"&amp;B264</f>
        <v/>
      </c>
      <c r="B264" s="42" t="n">
        <v>3</v>
      </c>
      <c r="C264" s="185" t="n"/>
      <c r="D264" s="185" t="n"/>
      <c r="E264" s="45" t="inlineStr">
        <is>
          <t>– middleware
中间件</t>
        </is>
      </c>
      <c r="F264" s="53" t="inlineStr">
        <is>
          <t>not applicable</t>
        </is>
      </c>
      <c r="G264" s="55" t="n"/>
      <c r="H264" s="47" t="n"/>
      <c r="I264" s="47" t="n"/>
      <c r="J264" s="49" t="n"/>
      <c r="K264" s="49" t="n"/>
      <c r="L264" s="49" t="n"/>
      <c r="M264" s="49" t="n"/>
    </row>
    <row r="265" outlineLevel="1" ht="28.5" customFormat="1" customHeight="1" s="36">
      <c r="A265" s="37">
        <f>A260&amp;"_"&amp;B265</f>
        <v/>
      </c>
      <c r="B265" s="50" t="n">
        <v>4</v>
      </c>
      <c r="C265" s="185" t="n"/>
      <c r="D265" s="185" t="n"/>
      <c r="E265" s="45" t="inlineStr">
        <is>
          <t>– basic software
基本软件</t>
        </is>
      </c>
      <c r="F265" s="53" t="inlineStr">
        <is>
          <t>not applicable</t>
        </is>
      </c>
      <c r="G265" s="46" t="n"/>
      <c r="H265" s="47" t="n"/>
      <c r="I265" s="47" t="n"/>
      <c r="J265" s="48" t="n"/>
      <c r="K265" s="49" t="n"/>
      <c r="L265" s="49" t="n"/>
      <c r="M265" s="49" t="n"/>
    </row>
    <row r="266" outlineLevel="1" ht="43.5" customFormat="1" customHeight="1" s="36">
      <c r="A266" s="37">
        <f>A260&amp;"_"&amp;B266</f>
        <v/>
      </c>
      <c r="B266" s="42" t="n">
        <v>5</v>
      </c>
      <c r="C266" s="185" t="n"/>
      <c r="D266" s="185" t="n"/>
      <c r="E266" s="45" t="inlineStr">
        <is>
          <t xml:space="preserve">– operating system including scheduler
——包含调度器的操作系统
</t>
        </is>
      </c>
      <c r="F266" s="53" t="inlineStr">
        <is>
          <t>not applicable</t>
        </is>
      </c>
      <c r="G266" s="55" t="n"/>
      <c r="H266" s="47" t="n"/>
      <c r="I266" s="47" t="n"/>
      <c r="J266" s="49" t="n"/>
      <c r="K266" s="49" t="n"/>
      <c r="L266" s="49" t="n"/>
      <c r="M266" s="49" t="n"/>
    </row>
    <row r="267" outlineLevel="1" ht="28.5" customFormat="1" customHeight="1" s="36">
      <c r="A267" s="37">
        <f>A260&amp;"_"&amp;B267</f>
        <v/>
      </c>
      <c r="B267" s="50" t="n">
        <v>6</v>
      </c>
      <c r="C267" s="185" t="n"/>
      <c r="D267" s="185" t="n"/>
      <c r="E267" s="45" t="inlineStr">
        <is>
          <t>– communication stack
通信协议栈</t>
        </is>
      </c>
      <c r="F267" s="53" t="inlineStr">
        <is>
          <t>not applicable</t>
        </is>
      </c>
      <c r="G267" s="46" t="n"/>
      <c r="H267" s="47" t="n"/>
      <c r="I267" s="47" t="n"/>
      <c r="J267" s="48" t="n"/>
      <c r="K267" s="49" t="n"/>
      <c r="L267" s="49" t="n"/>
      <c r="M267" s="49" t="n"/>
    </row>
    <row r="268" outlineLevel="1" ht="29" customFormat="1" customHeight="1" s="36">
      <c r="A268" s="37">
        <f>A260&amp;"_"&amp;B268</f>
        <v/>
      </c>
      <c r="B268" s="42" t="n">
        <v>7</v>
      </c>
      <c r="C268" s="185" t="n"/>
      <c r="D268" s="185" t="n"/>
      <c r="E268" s="45" t="inlineStr">
        <is>
          <t xml:space="preserve">– parameter file参数文件
</t>
        </is>
      </c>
      <c r="F268" s="53" t="inlineStr">
        <is>
          <t>not applicable</t>
        </is>
      </c>
      <c r="G268" s="55" t="n"/>
      <c r="H268" s="47" t="n"/>
      <c r="I268" s="47" t="n"/>
      <c r="J268" s="49" t="n"/>
      <c r="K268" s="49" t="n"/>
      <c r="L268" s="49" t="n"/>
      <c r="M268" s="49" t="n"/>
    </row>
    <row r="269" outlineLevel="1" ht="28.5" customFormat="1" customHeight="1" s="36">
      <c r="A269" s="37">
        <f>A260&amp;"_"&amp;B269</f>
        <v/>
      </c>
      <c r="B269" s="50" t="n">
        <v>8</v>
      </c>
      <c r="C269" s="185" t="n"/>
      <c r="D269" s="185" t="n"/>
      <c r="E269" s="45" t="inlineStr">
        <is>
          <t>– execution time
执行时间</t>
        </is>
      </c>
      <c r="F269" s="53" t="inlineStr">
        <is>
          <t>not applicable</t>
        </is>
      </c>
      <c r="G269" s="55" t="n"/>
      <c r="H269" s="47" t="n"/>
      <c r="I269" s="47" t="n"/>
      <c r="J269" s="49" t="n"/>
      <c r="K269" s="49" t="n"/>
      <c r="L269" s="49" t="n"/>
      <c r="M269" s="49" t="n"/>
    </row>
    <row r="270" outlineLevel="1" ht="14.5" customFormat="1" customHeight="1" s="36">
      <c r="A270" s="37">
        <f>A260&amp;"_"&amp;B270</f>
        <v/>
      </c>
      <c r="B270" s="42" t="n">
        <v>9</v>
      </c>
      <c r="C270" s="186" t="n"/>
      <c r="D270" s="186" t="n"/>
      <c r="E270" s="45" t="inlineStr">
        <is>
          <t>– allocated memory</t>
        </is>
      </c>
      <c r="F270" s="53" t="inlineStr">
        <is>
          <t>not applicable</t>
        </is>
      </c>
      <c r="G270" s="55" t="n"/>
      <c r="H270" s="47" t="n"/>
      <c r="I270" s="47" t="n"/>
      <c r="J270" s="49" t="n"/>
      <c r="K270" s="49" t="n"/>
      <c r="L270" s="49" t="n"/>
      <c r="M270" s="49" t="n"/>
    </row>
    <row r="271" outlineLevel="1" ht="28.5" customFormat="1" customHeight="1" s="36">
      <c r="A271" s="37">
        <f>A260&amp;"_"&amp;B271</f>
        <v/>
      </c>
      <c r="B271" s="50" t="n">
        <v>10</v>
      </c>
      <c r="C271" s="187" t="inlineStr">
        <is>
          <t>Components of
identical type</t>
        </is>
      </c>
      <c r="D271" s="187" t="inlineStr">
        <is>
          <t>Identical components may fail with higher probability simultaneously (common mode failures)</t>
        </is>
      </c>
      <c r="E271" s="45" t="inlineStr">
        <is>
          <t>• Reused standard software modules
重复使用的标准软件模块</t>
        </is>
      </c>
      <c r="F271" s="53" t="inlineStr">
        <is>
          <t>not applicable</t>
        </is>
      </c>
      <c r="G271" s="46" t="n"/>
      <c r="H271" s="47" t="n"/>
      <c r="I271" s="47" t="n"/>
      <c r="J271" s="48" t="n"/>
      <c r="K271" s="49" t="n"/>
      <c r="L271" s="49" t="n"/>
      <c r="M271" s="49" t="n"/>
    </row>
    <row r="272" outlineLevel="1" ht="28.5" customFormat="1" customHeight="1" s="36">
      <c r="A272" s="37">
        <f>A260&amp;"_"&amp;B272</f>
        <v/>
      </c>
      <c r="B272" s="42" t="n">
        <v>11</v>
      </c>
      <c r="C272" s="185" t="n"/>
      <c r="D272" s="185" t="n"/>
      <c r="E272" s="45" t="inlineStr">
        <is>
          <t>• Standard library components
标准库组件</t>
        </is>
      </c>
      <c r="F272" s="53" t="inlineStr">
        <is>
          <t>not applicable</t>
        </is>
      </c>
      <c r="G272" s="46" t="n"/>
      <c r="H272" s="47" t="n"/>
      <c r="I272" s="47" t="n"/>
      <c r="J272" s="48" t="n"/>
      <c r="K272" s="49" t="n"/>
      <c r="L272" s="49" t="n"/>
      <c r="M272" s="49" t="n"/>
    </row>
    <row r="273" outlineLevel="1" ht="28.5" customFormat="1" customHeight="1" s="36">
      <c r="A273" s="37">
        <f>A260&amp;"_"&amp;B273</f>
        <v/>
      </c>
      <c r="B273" s="50" t="n">
        <v>12</v>
      </c>
      <c r="C273" s="185" t="n"/>
      <c r="D273" s="185" t="n"/>
      <c r="E273" s="45" t="inlineStr">
        <is>
          <t>• Middleware
中间件</t>
        </is>
      </c>
      <c r="F273" s="53" t="inlineStr">
        <is>
          <t>not applicable</t>
        </is>
      </c>
      <c r="G273" s="55" t="n"/>
      <c r="H273" s="47" t="n"/>
      <c r="I273" s="47" t="n"/>
      <c r="J273" s="49" t="n"/>
      <c r="K273" s="49" t="n"/>
      <c r="L273" s="49" t="n"/>
      <c r="M273" s="49" t="n"/>
    </row>
    <row r="274" outlineLevel="1" ht="28.5" customFormat="1" customHeight="1" s="36">
      <c r="A274" s="37">
        <f>A260&amp;"_"&amp;B274</f>
        <v/>
      </c>
      <c r="B274" s="42" t="n">
        <v>13</v>
      </c>
      <c r="C274" s="185" t="n"/>
      <c r="D274" s="185" t="n"/>
      <c r="E274" s="45" t="inlineStr">
        <is>
          <t>• Operating system
操作系统</t>
        </is>
      </c>
      <c r="F274" s="53" t="inlineStr">
        <is>
          <t>not applicable</t>
        </is>
      </c>
      <c r="G274" s="55" t="n"/>
      <c r="H274" s="47" t="n"/>
      <c r="I274" s="47" t="n"/>
      <c r="J274" s="49" t="n"/>
      <c r="K274" s="49" t="n"/>
      <c r="L274" s="49" t="n"/>
      <c r="M274" s="49" t="n"/>
    </row>
    <row r="275" outlineLevel="1" ht="28.5" customFormat="1" customHeight="1" s="36">
      <c r="A275" s="37">
        <f>A260&amp;"_"&amp;B275</f>
        <v/>
      </c>
      <c r="B275" s="50" t="n">
        <v>14</v>
      </c>
      <c r="C275" s="185" t="n"/>
      <c r="D275" s="185" t="n"/>
      <c r="E275" s="45" t="inlineStr">
        <is>
          <t>• Communication stack
通信栈</t>
        </is>
      </c>
      <c r="F275" s="53" t="inlineStr">
        <is>
          <t>not applicable</t>
        </is>
      </c>
      <c r="G275" s="55" t="n"/>
      <c r="H275" s="47" t="n"/>
      <c r="I275" s="47" t="n"/>
      <c r="J275" s="49" t="n"/>
      <c r="K275" s="49" t="n"/>
      <c r="L275" s="49" t="n"/>
      <c r="M275" s="49" t="n"/>
    </row>
    <row r="276" outlineLevel="1" ht="58" customFormat="1" customHeight="1" s="36">
      <c r="A276" s="37">
        <f>A260&amp;"_"&amp;B276</f>
        <v/>
      </c>
      <c r="B276" s="42" t="n">
        <v>15</v>
      </c>
      <c r="C276" s="186" t="n"/>
      <c r="D276" s="186" t="n"/>
      <c r="E276" s="45" t="inlineStr">
        <is>
          <t xml:space="preserve">
• Parameter set
参数设置
</t>
        </is>
      </c>
      <c r="F276" s="53" t="inlineStr">
        <is>
          <t>not applicable</t>
        </is>
      </c>
      <c r="G276" s="55" t="n"/>
      <c r="H276" s="47" t="n"/>
      <c r="I276" s="47" t="n"/>
      <c r="J276" s="49" t="n"/>
      <c r="K276" s="49" t="n"/>
      <c r="L276" s="49" t="n"/>
      <c r="M276" s="49" t="n"/>
    </row>
    <row r="277" outlineLevel="1" ht="100.5" customFormat="1" customHeight="1" s="36">
      <c r="A277" s="37">
        <f>A260&amp;"_"&amp;B277</f>
        <v/>
      </c>
      <c r="B277" s="50" t="n">
        <v>16</v>
      </c>
      <c r="C277" s="187" t="inlineStr">
        <is>
          <t>Communication
between the two
functions</t>
        </is>
      </c>
      <c r="D277" s="184" t="inlineStr">
        <is>
          <t>Receiving function is affected by information that is false, lost, sent multiple times, or in the wrong order etc. from the sender</t>
        </is>
      </c>
      <c r="E277"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277" s="53" t="inlineStr">
        <is>
          <t>not applicable</t>
        </is>
      </c>
      <c r="G277" s="46" t="n"/>
      <c r="H277" s="47" t="n"/>
      <c r="I277" s="47" t="n"/>
      <c r="J277" s="48" t="n"/>
      <c r="K277" s="49" t="n"/>
      <c r="L277" s="49" t="n"/>
      <c r="M277" s="49" t="n"/>
    </row>
    <row r="278" outlineLevel="1" ht="72.5" customFormat="1" customHeight="1" s="36">
      <c r="A278" s="37">
        <f>A260&amp;"_"&amp;B278</f>
        <v/>
      </c>
      <c r="B278" s="42" t="n">
        <v>17</v>
      </c>
      <c r="C278" s="185" t="n"/>
      <c r="D278" s="185" t="n"/>
      <c r="E278" s="45" t="inlineStr">
        <is>
          <t>• Data or message corruption/ repetition*/ loss*/ delay*/ masquerading or incorrect addressing of information*
数据或信息的损坏/重复/丢失/延迟/伪装或信息的错误标识*</t>
        </is>
      </c>
      <c r="F278" s="53" t="inlineStr">
        <is>
          <t>not applicable</t>
        </is>
      </c>
      <c r="G278" s="55" t="n"/>
      <c r="H278" s="47" t="n"/>
      <c r="I278" s="47" t="n"/>
      <c r="J278" s="49" t="n"/>
      <c r="K278" s="49" t="n"/>
      <c r="L278" s="49" t="n"/>
      <c r="M278" s="49" t="n"/>
    </row>
    <row r="279" outlineLevel="1" ht="49" customFormat="1" customHeight="1" s="36">
      <c r="A279" s="37">
        <f>A260&amp;"_"&amp;B279</f>
        <v/>
      </c>
      <c r="B279" s="50" t="n">
        <v>18</v>
      </c>
      <c r="C279" s="185" t="n"/>
      <c r="D279" s="185" t="n"/>
      <c r="E279" s="45" t="inlineStr">
        <is>
          <t>• Insertion*/ sequence of information*
插入* / 信息序列*</t>
        </is>
      </c>
      <c r="F279" s="53" t="inlineStr">
        <is>
          <t>not applicable</t>
        </is>
      </c>
      <c r="G279" s="55" t="n"/>
      <c r="H279" s="47" t="n"/>
      <c r="I279" s="47" t="n"/>
      <c r="J279" s="49" t="n"/>
      <c r="K279" s="49" t="n"/>
      <c r="L279" s="49" t="n"/>
      <c r="M279" s="49" t="n"/>
    </row>
    <row r="280" outlineLevel="1" ht="48" customFormat="1" customHeight="1" s="36">
      <c r="A280" s="37">
        <f>A260&amp;"_"&amp;B280</f>
        <v/>
      </c>
      <c r="B280" s="42" t="n">
        <v>19</v>
      </c>
      <c r="C280" s="185" t="n"/>
      <c r="D280" s="185" t="n"/>
      <c r="E280" s="45" t="inlineStr">
        <is>
          <t>• Corruption of information*
信息的失真*</t>
        </is>
      </c>
      <c r="F280" s="53" t="inlineStr">
        <is>
          <t>not applicable</t>
        </is>
      </c>
      <c r="G280" s="55" t="n"/>
      <c r="H280" s="47" t="n"/>
      <c r="I280" s="47" t="n"/>
      <c r="J280" s="49" t="n"/>
      <c r="K280" s="49" t="n"/>
      <c r="L280" s="49" t="n"/>
      <c r="M280" s="49" t="n"/>
    </row>
    <row r="281" outlineLevel="1" ht="48" customFormat="1" customHeight="1" s="36">
      <c r="A281" s="37">
        <f>A260&amp;"_"&amp;B281</f>
        <v/>
      </c>
      <c r="B281" s="50" t="n">
        <v>20</v>
      </c>
      <c r="C281" s="185" t="n"/>
      <c r="D281" s="185" t="n"/>
      <c r="E281" s="45" t="inlineStr">
        <is>
          <t>• Asymmetric information sent from a sender to multiple receivers*
从发送者传向多个接收者的不对称信息*</t>
        </is>
      </c>
      <c r="F281" s="53" t="inlineStr">
        <is>
          <t>not applicable</t>
        </is>
      </c>
      <c r="G281" s="55" t="n"/>
      <c r="H281" s="47" t="n"/>
      <c r="I281" s="47" t="n"/>
      <c r="J281" s="49" t="n"/>
      <c r="K281" s="49" t="n"/>
      <c r="L281" s="49" t="n"/>
      <c r="M281" s="49" t="n"/>
    </row>
    <row r="282" outlineLevel="1" ht="48" customFormat="1" customHeight="1" s="36">
      <c r="A282" s="37">
        <f>A260&amp;"_"&amp;B282</f>
        <v/>
      </c>
      <c r="B282" s="42" t="n">
        <v>21</v>
      </c>
      <c r="C282" s="185" t="n"/>
      <c r="D282" s="185" t="n"/>
      <c r="E282" s="45" t="inlineStr">
        <is>
          <t>• Information from a sender received by only a subset of the receivers*
仅部分接收者接收到的来自发送者的信息*</t>
        </is>
      </c>
      <c r="F282" s="53" t="inlineStr">
        <is>
          <t>not applicable</t>
        </is>
      </c>
      <c r="G282" s="55" t="n"/>
      <c r="H282" s="47" t="n"/>
      <c r="I282" s="47" t="n"/>
      <c r="J282" s="49" t="n"/>
      <c r="K282" s="49" t="n"/>
      <c r="L282" s="49" t="n"/>
      <c r="M282" s="49" t="n"/>
    </row>
    <row r="283" outlineLevel="1" ht="43.5" customFormat="1" customHeight="1" s="36">
      <c r="A283" s="37">
        <f>A260&amp;"_"&amp;B283</f>
        <v/>
      </c>
      <c r="B283" s="50" t="n">
        <v>22</v>
      </c>
      <c r="C283" s="186" t="n"/>
      <c r="D283" s="186" t="n"/>
      <c r="E283" s="45" t="inlineStr">
        <is>
          <t>• Blocking access to a communication channel*
阻止对通信通道的访问*</t>
        </is>
      </c>
      <c r="F283" s="53" t="inlineStr">
        <is>
          <t>not applicable</t>
        </is>
      </c>
      <c r="G283" s="46" t="n"/>
      <c r="H283" s="47" t="n"/>
      <c r="I283" s="47" t="n"/>
      <c r="J283" s="48" t="n"/>
      <c r="K283" s="49" t="n"/>
      <c r="L283" s="49" t="n"/>
      <c r="M283" s="49" t="n"/>
    </row>
    <row r="284" outlineLevel="1" ht="45" customFormat="1" customHeight="1" s="36">
      <c r="A284" s="37">
        <f>A260&amp;"_"&amp;B284</f>
        <v/>
      </c>
      <c r="B284" s="42" t="n">
        <v>23</v>
      </c>
      <c r="C284" s="187" t="inlineStr">
        <is>
          <t>Shared information
inputs</t>
        </is>
      </c>
      <c r="D284" s="187" t="inlineStr">
        <is>
          <t>Same information consumed by the two functions even in absence of shared resources, i.e. from a functional perspective</t>
        </is>
      </c>
      <c r="E284" s="45" t="inlineStr">
        <is>
          <t>• Calibration parameters
标准参数</t>
        </is>
      </c>
      <c r="F284" s="53" t="inlineStr">
        <is>
          <t>not applicable</t>
        </is>
      </c>
      <c r="G284" s="55" t="n"/>
      <c r="H284" s="47" t="n"/>
      <c r="I284" s="47" t="n"/>
      <c r="J284" s="49" t="n"/>
      <c r="K284" s="49" t="n"/>
      <c r="L284" s="49" t="n"/>
      <c r="M284" s="49" t="n"/>
    </row>
    <row r="285" outlineLevel="1" ht="57" customFormat="1" customHeight="1" s="36">
      <c r="A285" s="37">
        <f>A260&amp;"_"&amp;B285</f>
        <v/>
      </c>
      <c r="B285" s="50" t="n">
        <v>24</v>
      </c>
      <c r="C285" s="185" t="n"/>
      <c r="D285" s="185" t="n"/>
      <c r="E285" s="45" t="inlineStr">
        <is>
          <t>• Constants, or variables, being global to the two software functions
常量或变量对于这两个软件功能而言是全局性的。</t>
        </is>
      </c>
      <c r="F285" s="53" t="inlineStr">
        <is>
          <t>not applicable</t>
        </is>
      </c>
      <c r="G285" s="46" t="n"/>
      <c r="H285" s="47" t="n"/>
      <c r="I285" s="47" t="n"/>
      <c r="J285" s="48" t="n"/>
      <c r="K285" s="49" t="n"/>
      <c r="L285" s="49" t="n"/>
      <c r="M285" s="49" t="n"/>
    </row>
    <row r="286" outlineLevel="1" ht="100" customFormat="1" customHeight="1" s="36">
      <c r="A286" s="37">
        <f>A260&amp;"_"&amp;B286</f>
        <v/>
      </c>
      <c r="B286" s="42" t="n">
        <v>25</v>
      </c>
      <c r="C286" s="185" t="n"/>
      <c r="D286" s="185" t="n"/>
      <c r="E286" s="45" t="inlineStr">
        <is>
          <t>• Basic software passes data (read from hardware register and converted into logical information) to two application software functions
基础软件会将数据（从硬件寄存器读取并转换为逻辑信息）传递给两个应用程序软件功能。</t>
        </is>
      </c>
      <c r="F286" s="53" t="inlineStr">
        <is>
          <t>not applicable</t>
        </is>
      </c>
      <c r="G286" s="55" t="n"/>
      <c r="H286" s="47" t="n"/>
      <c r="I286" s="47" t="n"/>
      <c r="J286" s="49" t="n"/>
      <c r="K286" s="49" t="n"/>
      <c r="L286" s="49" t="n"/>
      <c r="M286" s="49" t="n"/>
    </row>
    <row r="287" outlineLevel="1" ht="115.5" customFormat="1" customHeight="1" s="36">
      <c r="A287" s="37">
        <f>A260&amp;"_"&amp;B287</f>
        <v/>
      </c>
      <c r="B287" s="50" t="n">
        <v>26</v>
      </c>
      <c r="C287" s="186" t="n"/>
      <c r="D287" s="186" t="n"/>
      <c r="E287"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287" s="53" t="inlineStr">
        <is>
          <t>not applicable</t>
        </is>
      </c>
      <c r="G287" s="55" t="n"/>
      <c r="H287" s="47" t="n"/>
      <c r="I287" s="47" t="n"/>
      <c r="J287" s="49" t="n"/>
      <c r="K287" s="49" t="n"/>
      <c r="L287" s="49" t="n"/>
      <c r="M287" s="49" t="n"/>
    </row>
    <row r="288" outlineLevel="1" ht="68.5" customFormat="1" customHeight="1" s="36">
      <c r="A288" s="37">
        <f>A260&amp;"_"&amp;B288</f>
        <v/>
      </c>
      <c r="B288" s="42" t="n">
        <v>27</v>
      </c>
      <c r="C288" s="187" t="inlineStr">
        <is>
          <t>Environmental
influences</t>
        </is>
      </c>
      <c r="D288" s="184" t="inlineStr">
        <is>
          <t>Common external environmental disturbance affects both functions</t>
        </is>
      </c>
      <c r="E288" s="45" t="inlineStr">
        <is>
          <t xml:space="preserve">System-level: mechanical shock, water ingress
 系统层面：机械震动、进水                                                                                                                                                                </t>
        </is>
      </c>
      <c r="F288" s="53" t="inlineStr">
        <is>
          <t>not applicable</t>
        </is>
      </c>
      <c r="G288" s="55" t="n"/>
      <c r="H288" s="47" t="n"/>
      <c r="I288" s="47" t="n"/>
      <c r="J288" s="49" t="n"/>
      <c r="K288" s="49" t="n"/>
      <c r="L288" s="49" t="n"/>
      <c r="M288" s="49" t="n"/>
    </row>
    <row r="289" outlineLevel="1" ht="28.5" customFormat="1" customHeight="1" s="36">
      <c r="A289" s="37">
        <f>A260&amp;"_"&amp;B289</f>
        <v/>
      </c>
      <c r="B289" s="50" t="n">
        <v>28</v>
      </c>
      <c r="C289" s="185" t="n"/>
      <c r="D289" s="185" t="n"/>
      <c r="E289" s="45" t="inlineStr">
        <is>
          <t>Software-level: not applicable for Software
软件层面：不适用于软件</t>
        </is>
      </c>
      <c r="F289" s="53" t="inlineStr">
        <is>
          <t>not applicable</t>
        </is>
      </c>
      <c r="G289" s="55" t="n"/>
      <c r="H289" s="47" t="n"/>
      <c r="I289" s="47" t="n"/>
      <c r="J289" s="49" t="n"/>
      <c r="K289" s="49" t="n"/>
      <c r="L289" s="49" t="n"/>
      <c r="M289" s="49" t="n"/>
    </row>
    <row r="290" outlineLevel="1" ht="43" customFormat="1" customHeight="1" s="36">
      <c r="A290" s="37">
        <f>A260&amp;"_"&amp;B290</f>
        <v/>
      </c>
      <c r="B290" s="42" t="n">
        <v>29</v>
      </c>
      <c r="C290" s="186" t="n"/>
      <c r="D290" s="186" t="n"/>
      <c r="E290" s="45" t="inlineStr">
        <is>
          <t>Hardware-level: under and over voltage of the power supply        
硬件层面：电源的欠压和过压情况</t>
        </is>
      </c>
      <c r="F290" s="53" t="inlineStr">
        <is>
          <t>not applicable</t>
        </is>
      </c>
      <c r="G290" s="55" t="n"/>
      <c r="H290" s="47" t="n"/>
      <c r="I290" s="47" t="n"/>
      <c r="J290" s="49" t="n"/>
      <c r="K290" s="49" t="n"/>
      <c r="L290" s="49" t="n"/>
      <c r="M290" s="49" t="n"/>
    </row>
    <row r="291" outlineLevel="1" ht="91" customFormat="1" customHeight="1" s="36">
      <c r="A291" s="37">
        <f>A260&amp;"_"&amp;B291</f>
        <v/>
      </c>
      <c r="B291" s="50" t="n">
        <v>30</v>
      </c>
      <c r="C291" s="187" t="inlineStr">
        <is>
          <t>Unintended impact</t>
        </is>
      </c>
      <c r="D291" s="187" t="inlineStr">
        <is>
          <t>Two functions affecting each other’s elements directly via an implicit, that is unintended interface.</t>
        </is>
      </c>
      <c r="E291" s="45" t="inlineStr">
        <is>
          <t>• Memory / corruption of content*
– “wild pointers“ (including program counter stack)
内存/内容损坏*
——“失控指针”（包括程序计数器栈</t>
        </is>
      </c>
      <c r="F291" s="45" t="inlineStr">
        <is>
          <t xml:space="preserve">Yes </t>
        </is>
      </c>
      <c r="G291" s="46" t="inlineStr">
        <is>
          <t>位置制动控制模块失效会导致制动灯输出和反馈异常，违背安全目标SG02</t>
        </is>
      </c>
      <c r="H291" s="47" t="inlineStr">
        <is>
          <t xml:space="preserve">1：支持硬线制动灯点亮：
2：支持外部看门狗，对异常中断造成的任务停滞进行复位处理
</t>
        </is>
      </c>
      <c r="I291" s="47" t="inlineStr">
        <is>
          <t>SW_DFA_SM_001
SW_DFA_SM_004</t>
        </is>
      </c>
      <c r="J291" s="48" t="inlineStr">
        <is>
          <t>通过集成测试</t>
        </is>
      </c>
      <c r="K291" s="49" t="inlineStr">
        <is>
          <t>满足ASILB开发和测试</t>
        </is>
      </c>
      <c r="L291" s="49" t="n"/>
      <c r="M291" s="49" t="n"/>
    </row>
    <row r="292" outlineLevel="1" ht="91" customFormat="1" customHeight="1" s="36">
      <c r="A292" s="37">
        <f>A260&amp;"_"&amp;B292</f>
        <v/>
      </c>
      <c r="B292" s="42" t="n">
        <v>31</v>
      </c>
      <c r="C292" s="185" t="n"/>
      <c r="D292" s="185" t="n"/>
      <c r="E292" s="45" t="inlineStr">
        <is>
          <t>– memory mis-allocation
——内存分配错误</t>
        </is>
      </c>
      <c r="F292" s="45" t="inlineStr">
        <is>
          <t xml:space="preserve">Yes </t>
        </is>
      </c>
      <c r="G292" s="46" t="inlineStr">
        <is>
          <t>位置制动控制模块失效会导致制动灯输出和反馈异常，违背安全目标SG02</t>
        </is>
      </c>
      <c r="H292" s="47" t="inlineStr">
        <is>
          <t xml:space="preserve">1：支持硬线制动灯点亮：
2：支持外部看门狗，对异常中断造成的任务停滞进行复位处理
</t>
        </is>
      </c>
      <c r="I292" s="47" t="inlineStr">
        <is>
          <t>SW_DFA_SM_001
SW_DFA_SM_004</t>
        </is>
      </c>
      <c r="J292" s="48" t="inlineStr">
        <is>
          <t>通过集成测试</t>
        </is>
      </c>
      <c r="K292" s="49" t="inlineStr">
        <is>
          <t>满足ASILB开发和测试</t>
        </is>
      </c>
      <c r="L292" s="49" t="n"/>
      <c r="M292" s="49" t="n"/>
    </row>
    <row r="293" outlineLevel="1" ht="91" customFormat="1" customHeight="1" s="36">
      <c r="A293" s="37">
        <f>A260&amp;"_"&amp;B293</f>
        <v/>
      </c>
      <c r="B293" s="50" t="n">
        <v>32</v>
      </c>
      <c r="C293" s="185" t="n"/>
      <c r="D293" s="185" t="n"/>
      <c r="E293" s="45" t="inlineStr">
        <is>
          <t>– memory leaks
内存泄漏</t>
        </is>
      </c>
      <c r="F293" s="45" t="inlineStr">
        <is>
          <t xml:space="preserve">Yes </t>
        </is>
      </c>
      <c r="G293" s="46" t="inlineStr">
        <is>
          <t>位置制动控制模块失效会导致制动灯输出和反馈异常，违背安全目标SG02</t>
        </is>
      </c>
      <c r="H293" s="47" t="inlineStr">
        <is>
          <t xml:space="preserve">1：支持硬线制动灯点亮：
2：支持外部看门狗，对异常中断造成的任务停滞进行复位处理
</t>
        </is>
      </c>
      <c r="I293" s="47" t="inlineStr">
        <is>
          <t>SW_DFA_SM_001
SW_DFA_SM_004</t>
        </is>
      </c>
      <c r="J293" s="48" t="inlineStr">
        <is>
          <t>通过集成测试</t>
        </is>
      </c>
      <c r="K293" s="49" t="inlineStr">
        <is>
          <t>满足ASILB开发和测试</t>
        </is>
      </c>
      <c r="L293" s="49" t="n"/>
      <c r="M293" s="49" t="n"/>
    </row>
    <row r="294" outlineLevel="1" ht="58" customFormat="1" customHeight="1" s="36">
      <c r="A294" s="37">
        <f>A260&amp;"_"&amp;B294</f>
        <v/>
      </c>
      <c r="B294" s="42" t="n">
        <v>33</v>
      </c>
      <c r="C294" s="185" t="n"/>
      <c r="D294" s="185" t="n"/>
      <c r="E294" s="45" t="inlineStr">
        <is>
          <t>– read/write access to memory allocated to another software element*
—— 对分配给其他软件组件的内存的读/写访问权限*</t>
        </is>
      </c>
      <c r="F294" s="53" t="inlineStr">
        <is>
          <t>not applicable</t>
        </is>
      </c>
      <c r="G294" s="55" t="n"/>
      <c r="H294" s="47" t="n"/>
      <c r="I294" s="47" t="n"/>
      <c r="J294" s="49" t="n"/>
      <c r="K294" s="49" t="n"/>
      <c r="L294" s="49" t="n"/>
      <c r="M294" s="49" t="n"/>
    </row>
    <row r="295" outlineLevel="1" ht="29" customFormat="1" customHeight="1" s="36">
      <c r="A295" s="37">
        <f>A260&amp;"_"&amp;B295</f>
        <v/>
      </c>
      <c r="B295" s="50" t="n">
        <v>34</v>
      </c>
      <c r="C295" s="185" t="n"/>
      <c r="D295" s="185" t="n"/>
      <c r="E295" s="45" t="inlineStr">
        <is>
          <t>– buffer under-/overflow
– 缓冲区下溢/上溢</t>
        </is>
      </c>
      <c r="F295" s="53" t="inlineStr">
        <is>
          <t>not applicable</t>
        </is>
      </c>
      <c r="G295" s="55" t="n"/>
      <c r="H295" s="47" t="n"/>
      <c r="I295" s="47" t="n"/>
      <c r="J295" s="49" t="n"/>
      <c r="K295" s="49" t="n"/>
      <c r="L295" s="49" t="n"/>
      <c r="M295" s="49" t="n"/>
    </row>
    <row r="296" outlineLevel="1" ht="57.5" customFormat="1" customHeight="1" s="36">
      <c r="A296" s="37">
        <f>A260&amp;"_"&amp;B296</f>
        <v/>
      </c>
      <c r="B296" s="42" t="n">
        <v>35</v>
      </c>
      <c r="C296" s="185" t="n"/>
      <c r="D296" s="185" t="n"/>
      <c r="E296" s="45" t="inlineStr">
        <is>
          <t>• Timing and execution
– deadlocks*
时机与执行
——死锁*</t>
        </is>
      </c>
      <c r="F296" s="53" t="inlineStr">
        <is>
          <t>not applicable</t>
        </is>
      </c>
      <c r="G296" s="55" t="n"/>
      <c r="H296" s="47" t="n"/>
      <c r="I296" s="47" t="n"/>
      <c r="J296" s="49" t="n"/>
      <c r="K296" s="49" t="n"/>
      <c r="L296" s="49" t="n"/>
      <c r="M296" s="49" t="n"/>
    </row>
    <row r="297" outlineLevel="1" ht="28.5" customFormat="1" customHeight="1" s="36">
      <c r="A297" s="37">
        <f>A260&amp;"_"&amp;B297</f>
        <v/>
      </c>
      <c r="B297" s="50" t="n">
        <v>36</v>
      </c>
      <c r="C297" s="185" t="n"/>
      <c r="D297" s="185" t="n"/>
      <c r="E297" s="45" t="inlineStr">
        <is>
          <t>– livelocks*
活锁</t>
        </is>
      </c>
      <c r="F297" s="53" t="inlineStr">
        <is>
          <t>not applicable</t>
        </is>
      </c>
      <c r="G297" s="55" t="n"/>
      <c r="H297" s="47" t="n"/>
      <c r="I297" s="47" t="n"/>
      <c r="J297" s="49" t="n"/>
      <c r="K297" s="49" t="n"/>
      <c r="L297" s="49" t="n"/>
      <c r="M297" s="49" t="n"/>
    </row>
    <row r="298" outlineLevel="1" ht="29" customFormat="1" customHeight="1" s="36">
      <c r="A298" s="37">
        <f>A260&amp;"_"&amp;B298</f>
        <v/>
      </c>
      <c r="B298" s="42" t="n">
        <v>37</v>
      </c>
      <c r="C298" s="185" t="n"/>
      <c r="D298" s="185" t="n"/>
      <c r="E298" s="45" t="inlineStr">
        <is>
          <t>– incorrect allocation of execution time*
——执行时间分配不当*</t>
        </is>
      </c>
      <c r="F298" s="53" t="inlineStr">
        <is>
          <t>not applicable</t>
        </is>
      </c>
      <c r="G298" s="55" t="n"/>
      <c r="H298" s="47" t="n"/>
      <c r="I298" s="47" t="n"/>
      <c r="J298" s="49" t="n"/>
      <c r="K298" s="49" t="n"/>
      <c r="L298" s="49" t="n"/>
      <c r="M298" s="49" t="n"/>
    </row>
    <row r="299" outlineLevel="1" ht="43.5" customFormat="1" customHeight="1" s="36">
      <c r="A299" s="37">
        <f>A260&amp;"_"&amp;B299</f>
        <v/>
      </c>
      <c r="B299" s="50" t="n">
        <v>38</v>
      </c>
      <c r="C299" s="186" t="n"/>
      <c r="D299" s="186" t="n"/>
      <c r="E299" s="45" t="inlineStr">
        <is>
          <t>– incorrect synchronization between software elements*
——软件各组成部分之间的同步不正确*</t>
        </is>
      </c>
      <c r="F299" s="53" t="inlineStr">
        <is>
          <t>not applicable</t>
        </is>
      </c>
      <c r="G299" s="46" t="n"/>
      <c r="H299" s="47" t="n"/>
      <c r="I299" s="47" t="n"/>
      <c r="J299" s="48" t="n"/>
      <c r="K299" s="49" t="n"/>
      <c r="L299" s="49" t="n"/>
      <c r="M299" s="49" t="n"/>
    </row>
    <row r="300" outlineLevel="1" ht="72" customFormat="1" customHeight="1" s="36">
      <c r="A300" s="37">
        <f>A260&amp;"_"&amp;B300</f>
        <v/>
      </c>
      <c r="B300" s="42" t="n">
        <v>39</v>
      </c>
      <c r="C300" s="187" t="inlineStr">
        <is>
          <t>Systematic coupling</t>
        </is>
      </c>
      <c r="D300" s="187" t="inlineStr">
        <is>
          <t>Systematic causes from human or tool errors can lead to the simultaneous failure of more than one function</t>
        </is>
      </c>
      <c r="E300" s="45" t="inlineStr">
        <is>
          <t>• Manufacturing fault / repair fault (e.g. false flashing, false calibration reference for sensors)
制造故障/维修故障（例如：错误的闪烁现象、传感器的错误校准参考值）</t>
        </is>
      </c>
      <c r="F300" s="53" t="inlineStr">
        <is>
          <t>not applicable</t>
        </is>
      </c>
      <c r="G300" s="55" t="n"/>
      <c r="H300" s="47" t="n"/>
      <c r="I300" s="47" t="n"/>
      <c r="J300" s="49" t="n"/>
      <c r="K300" s="49" t="n"/>
      <c r="L300" s="49" t="n"/>
      <c r="M300" s="49" t="n"/>
    </row>
    <row r="301" outlineLevel="1" ht="115.5" customFormat="1" customHeight="1" s="36">
      <c r="A301" s="37">
        <f>A260&amp;"_"&amp;B301</f>
        <v/>
      </c>
      <c r="B301" s="50" t="n">
        <v>40</v>
      </c>
      <c r="C301" s="185" t="n"/>
      <c r="D301" s="185" t="n"/>
      <c r="E301" s="61" t="inlineStr">
        <is>
          <t xml:space="preserve">• Non-diverse development approaches including:
– same software tools (e.g. IDE, compiler, linker)
非多元化的发展方式包括：
——相同的软件工具（例如集成开发环境、编译器、链接器）
</t>
        </is>
      </c>
      <c r="F301" s="45" t="inlineStr">
        <is>
          <t xml:space="preserve">Yes </t>
        </is>
      </c>
      <c r="G301" s="62" t="inlineStr">
        <is>
          <t>代码异常导致的违背安全目标</t>
        </is>
      </c>
      <c r="H301" s="63" t="inlineStr">
        <is>
          <t>工具鉴定</t>
        </is>
      </c>
      <c r="I301" s="63" t="n"/>
      <c r="J301" s="49" t="inlineStr">
        <is>
          <t>通过集成测试</t>
        </is>
      </c>
      <c r="K301" s="68" t="inlineStr">
        <is>
          <t>满足ASILB开发和测试</t>
        </is>
      </c>
      <c r="L301" s="68" t="n"/>
      <c r="M301" s="49" t="n"/>
    </row>
    <row r="302" outlineLevel="1" ht="28.5" customFormat="1" customHeight="1" s="36">
      <c r="A302" s="37">
        <f>A260&amp;"_"&amp;B302</f>
        <v/>
      </c>
      <c r="B302" s="42" t="n">
        <v>41</v>
      </c>
      <c r="C302" s="185" t="n"/>
      <c r="D302" s="185" t="n"/>
      <c r="E302" s="61" t="inlineStr">
        <is>
          <t>– same algorithms
相同的算法</t>
        </is>
      </c>
      <c r="F302" s="53" t="inlineStr">
        <is>
          <t>not applicable</t>
        </is>
      </c>
      <c r="G302" s="55" t="n"/>
      <c r="H302" s="47" t="n"/>
      <c r="I302" s="47" t="n"/>
      <c r="J302" s="49" t="n"/>
      <c r="K302" s="49" t="n"/>
      <c r="L302" s="49" t="n"/>
      <c r="M302" s="49" t="n"/>
    </row>
    <row r="303" outlineLevel="1" ht="43.5" customFormat="1" customHeight="1" s="36">
      <c r="A303" s="37">
        <f>A260&amp;"_"&amp;B303</f>
        <v/>
      </c>
      <c r="B303" s="50" t="n">
        <v>42</v>
      </c>
      <c r="C303" s="185" t="n"/>
      <c r="D303" s="185" t="n"/>
      <c r="E303" s="61" t="inlineStr">
        <is>
          <t>– same programming and/or modelling language used
所使用的编程和/或建模语言相同</t>
        </is>
      </c>
      <c r="F303" s="45" t="inlineStr">
        <is>
          <t xml:space="preserve">Yes </t>
        </is>
      </c>
      <c r="G303" s="62" t="inlineStr">
        <is>
          <t>代码异常导致的违背安全目标</t>
        </is>
      </c>
      <c r="H303" s="63" t="inlineStr">
        <is>
          <t>工具鉴定</t>
        </is>
      </c>
      <c r="I303" s="47" t="n"/>
      <c r="J303" s="49" t="inlineStr">
        <is>
          <t>通过集成测试</t>
        </is>
      </c>
      <c r="K303" s="49" t="inlineStr">
        <is>
          <t>满足ASILB开发和测试</t>
        </is>
      </c>
      <c r="L303" s="49" t="n"/>
      <c r="M303" s="49" t="n"/>
    </row>
    <row r="304" outlineLevel="1" ht="29" customFormat="1" customHeight="1" s="36">
      <c r="A304" s="37">
        <f>A260&amp;"_"&amp;B304</f>
        <v/>
      </c>
      <c r="B304" s="42" t="n">
        <v>43</v>
      </c>
      <c r="C304" s="185" t="n"/>
      <c r="D304" s="185" t="n"/>
      <c r="E304" s="61" t="inlineStr">
        <is>
          <t>– same complier/linker used
使用的是相同的编译器/链接器</t>
        </is>
      </c>
      <c r="F304" s="45" t="inlineStr">
        <is>
          <t xml:space="preserve">Yes </t>
        </is>
      </c>
      <c r="G304" s="62" t="inlineStr">
        <is>
          <t>代码异常导致的违背安全目标</t>
        </is>
      </c>
      <c r="H304" s="63" t="inlineStr">
        <is>
          <t>工具鉴定</t>
        </is>
      </c>
      <c r="I304" s="47" t="n"/>
      <c r="J304" s="49" t="inlineStr">
        <is>
          <t>通过集成测试</t>
        </is>
      </c>
      <c r="K304" s="49" t="inlineStr">
        <is>
          <t>满足ASILB开发和测试</t>
        </is>
      </c>
      <c r="L304" s="49" t="n"/>
      <c r="M304" s="49" t="n"/>
    </row>
    <row r="305" outlineLevel="1" ht="28.5" customFormat="1" customHeight="1" s="36">
      <c r="A305" s="37">
        <f>A260&amp;"_"&amp;B305</f>
        <v/>
      </c>
      <c r="B305" s="50" t="n">
        <v>44</v>
      </c>
      <c r="C305" s="185" t="n"/>
      <c r="D305" s="185" t="n"/>
      <c r="E305" s="45" t="inlineStr">
        <is>
          <t>• Same personnel
相同人员</t>
        </is>
      </c>
      <c r="F305" s="53" t="inlineStr">
        <is>
          <t>not applicable</t>
        </is>
      </c>
      <c r="G305" s="55" t="n"/>
      <c r="H305" s="47" t="n"/>
      <c r="I305" s="47" t="n"/>
      <c r="J305" s="49" t="n"/>
      <c r="K305" s="49" t="n"/>
      <c r="L305" s="49" t="n"/>
      <c r="M305" s="49" t="n"/>
    </row>
    <row r="306" outlineLevel="1" ht="57" customFormat="1" customHeight="1" s="36">
      <c r="A306" s="37">
        <f>A260&amp;"_"&amp;B306</f>
        <v/>
      </c>
      <c r="B306" s="42" t="n">
        <v>45</v>
      </c>
      <c r="C306" s="185" t="n"/>
      <c r="D306" s="185" t="n"/>
      <c r="E306" s="45" t="inlineStr">
        <is>
          <t>• Same social-cultural context (even if different personnel)
相同的社会文化背景（即便人员有所不同）</t>
        </is>
      </c>
      <c r="F306" s="53" t="inlineStr">
        <is>
          <t>not applicable</t>
        </is>
      </c>
      <c r="G306" s="55" t="n"/>
      <c r="H306" s="47" t="n"/>
      <c r="I306" s="47" t="n"/>
      <c r="J306" s="49" t="n"/>
      <c r="K306" s="49" t="n"/>
      <c r="L306" s="49" t="n"/>
      <c r="M306" s="49" t="n"/>
    </row>
    <row r="307" outlineLevel="1" ht="57.5" customFormat="1" customHeight="1" s="36">
      <c r="A307" s="37">
        <f>A260&amp;"_"&amp;B307</f>
        <v/>
      </c>
      <c r="B307" s="50" t="n">
        <v>46</v>
      </c>
      <c r="C307" s="185" t="n"/>
      <c r="D307" s="185" t="n"/>
      <c r="E307" s="45" t="inlineStr">
        <is>
          <t>• Development fault, e.g.
– human error
开发失误，例如：
– 人为错误</t>
        </is>
      </c>
      <c r="F307" s="53" t="inlineStr">
        <is>
          <t>not applicable</t>
        </is>
      </c>
      <c r="G307" s="55" t="n"/>
      <c r="H307" s="47" t="n"/>
      <c r="I307" s="47" t="n"/>
      <c r="J307" s="49" t="n"/>
      <c r="K307" s="49" t="n"/>
      <c r="L307" s="49" t="n"/>
      <c r="M307" s="49" t="n"/>
    </row>
    <row r="308" outlineLevel="1" ht="28.5" customFormat="1" customHeight="1" s="36">
      <c r="A308" s="37">
        <f>A260&amp;"_"&amp;B308</f>
        <v/>
      </c>
      <c r="B308" s="42" t="n">
        <v>47</v>
      </c>
      <c r="C308" s="185" t="n"/>
      <c r="D308" s="185" t="n"/>
      <c r="E308" s="45" t="inlineStr">
        <is>
          <t>– insufficiently qualified personnel
资质不足的人员</t>
        </is>
      </c>
      <c r="F308" s="53" t="inlineStr">
        <is>
          <t>not applicable</t>
        </is>
      </c>
      <c r="G308" s="55" t="n"/>
      <c r="H308" s="47" t="n"/>
      <c r="I308" s="47" t="n"/>
      <c r="J308" s="49" t="n"/>
      <c r="K308" s="49" t="n"/>
      <c r="L308" s="49" t="n"/>
      <c r="M308" s="49" t="n"/>
    </row>
    <row r="309" outlineLevel="1" ht="28.5" customFormat="1" customHeight="1" s="36">
      <c r="A309" s="37">
        <f>A260&amp;"_"&amp;B309</f>
        <v/>
      </c>
      <c r="B309" s="50" t="n">
        <v>48</v>
      </c>
      <c r="C309" s="185" t="n"/>
      <c r="D309" s="185" t="n"/>
      <c r="E309" s="45" t="inlineStr">
        <is>
          <t>– process weaknesses
处理弱点</t>
        </is>
      </c>
      <c r="F309" s="53" t="inlineStr">
        <is>
          <t>not applicable</t>
        </is>
      </c>
      <c r="G309" s="55" t="n"/>
      <c r="H309" s="47" t="n"/>
      <c r="I309" s="47" t="n"/>
      <c r="J309" s="49" t="n"/>
      <c r="K309" s="49" t="n"/>
      <c r="L309" s="49" t="n"/>
      <c r="M309" s="49" t="n"/>
    </row>
    <row r="310" outlineLevel="1" ht="14.5" customFormat="1" customHeight="1" s="36">
      <c r="A310" s="37">
        <f>A260&amp;"_"&amp;B310</f>
        <v/>
      </c>
      <c r="B310" s="42" t="n">
        <v>49</v>
      </c>
      <c r="C310" s="186" t="n"/>
      <c r="D310" s="186" t="n"/>
      <c r="E310" s="45" t="inlineStr">
        <is>
          <t>– insufficient methods方法不足</t>
        </is>
      </c>
      <c r="F310" s="53" t="inlineStr">
        <is>
          <t>not applicable</t>
        </is>
      </c>
      <c r="G310" s="55" t="n"/>
      <c r="H310" s="47" t="n"/>
      <c r="I310" s="47" t="n"/>
      <c r="J310" s="49" t="n"/>
      <c r="K310" s="49" t="n"/>
      <c r="L310" s="49" t="n"/>
      <c r="M310" s="49" t="n"/>
    </row>
    <row r="311" ht="75" customFormat="1" customHeight="1" s="36">
      <c r="A311" s="67">
        <f>'Top Event'!B10</f>
        <v/>
      </c>
      <c r="B311" s="67" t="n"/>
      <c r="C311" s="67">
        <f>'Top Event'!C10</f>
        <v/>
      </c>
      <c r="D311" s="67">
        <f>'Top Event'!D10</f>
        <v/>
      </c>
      <c r="E311" s="67">
        <f>'Top Event'!E10</f>
        <v/>
      </c>
      <c r="F311" s="66" t="n"/>
      <c r="G311" s="66" t="n"/>
      <c r="H311" s="64" t="n"/>
      <c r="I311" s="64" t="n"/>
      <c r="J311" s="36" t="n"/>
      <c r="K311" s="36" t="n"/>
      <c r="L311" s="36" t="n"/>
      <c r="M311" s="36" t="n"/>
    </row>
    <row r="312" ht="37.25" customFormat="1" customHeight="1" s="36">
      <c r="A312" s="37" t="n"/>
      <c r="B312" s="37" t="n"/>
      <c r="C312" s="38" t="inlineStr">
        <is>
          <t>DF-I Category</t>
        </is>
      </c>
      <c r="D312" s="38" t="inlineStr">
        <is>
          <t>Interpretation</t>
        </is>
      </c>
      <c r="E312" s="38" t="inlineStr">
        <is>
          <t>DF-Initiator Examples</t>
        </is>
      </c>
      <c r="F312" s="38" t="inlineStr">
        <is>
          <t>Applicable?</t>
        </is>
      </c>
      <c r="G312" s="38" t="inlineStr">
        <is>
          <t>safety  goal related</t>
        </is>
      </c>
      <c r="H312" s="39" t="inlineStr">
        <is>
          <t>Counter Measure</t>
        </is>
      </c>
      <c r="I312" s="39" t="inlineStr">
        <is>
          <t>Counter Measure ID</t>
        </is>
      </c>
      <c r="J312" s="38" t="inlineStr">
        <is>
          <t>Evidence</t>
        </is>
      </c>
      <c r="K312" s="38" t="inlineStr">
        <is>
          <t>sufficient?</t>
        </is>
      </c>
      <c r="L312" s="38" t="n"/>
      <c r="M312" s="41" t="inlineStr">
        <is>
          <t>Comment</t>
        </is>
      </c>
    </row>
    <row r="313" outlineLevel="1" ht="86" customFormat="1" customHeight="1" s="36">
      <c r="A313" s="37">
        <f>A311&amp;"_"&amp;B313</f>
        <v/>
      </c>
      <c r="B313" s="42" t="n">
        <v>1</v>
      </c>
      <c r="C313" s="183" t="inlineStr">
        <is>
          <t>Shared resource</t>
        </is>
      </c>
      <c r="D313" s="184" t="inlineStr">
        <is>
          <t>The same software, hardware, or system element instance used by the two elements which are therefore affected by the failure or unavailability of that shared resource, i.e. from a physical perspective.</t>
        </is>
      </c>
      <c r="E313" s="45" t="inlineStr">
        <is>
          <t>Software component used by more than one other software component, e.g.
– reused standard software modules
被多个其他软件组件所使用的软件组件，例如：
– 重复使用的标准软件模块</t>
        </is>
      </c>
      <c r="F313" s="45" t="inlineStr">
        <is>
          <t xml:space="preserve">Yes </t>
        </is>
      </c>
      <c r="G313" s="46" t="inlineStr">
        <is>
          <t>NA</t>
        </is>
      </c>
      <c r="H313" s="47" t="n"/>
      <c r="I313" s="47" t="n"/>
      <c r="J313" s="48" t="inlineStr">
        <is>
          <t>通过集成测试</t>
        </is>
      </c>
      <c r="K313" s="49" t="inlineStr">
        <is>
          <t>满足ASILB开发和测试</t>
        </is>
      </c>
      <c r="L313" s="49" t="n"/>
      <c r="M313" s="49" t="n"/>
    </row>
    <row r="314" outlineLevel="1" ht="28.5" customFormat="1" customHeight="1" s="36">
      <c r="A314" s="37">
        <f>A311&amp;"_"&amp;B314</f>
        <v/>
      </c>
      <c r="B314" s="50" t="n">
        <v>2</v>
      </c>
      <c r="C314" s="185" t="n"/>
      <c r="D314" s="185" t="n"/>
      <c r="E314" s="45" t="inlineStr">
        <is>
          <t>– libraries
库</t>
        </is>
      </c>
      <c r="F314" s="53" t="inlineStr">
        <is>
          <t>not applicable</t>
        </is>
      </c>
      <c r="G314" s="55" t="n"/>
      <c r="H314" s="47" t="n"/>
      <c r="I314" s="47" t="n"/>
      <c r="J314" s="49" t="n"/>
      <c r="K314" s="49" t="n"/>
      <c r="L314" s="49" t="n"/>
      <c r="M314" s="49" t="n"/>
    </row>
    <row r="315" outlineLevel="1" ht="28.5" customFormat="1" customHeight="1" s="36">
      <c r="A315" s="37">
        <f>A311&amp;"_"&amp;B315</f>
        <v/>
      </c>
      <c r="B315" s="42" t="n">
        <v>3</v>
      </c>
      <c r="C315" s="185" t="n"/>
      <c r="D315" s="185" t="n"/>
      <c r="E315" s="45" t="inlineStr">
        <is>
          <t>– middleware
中间件</t>
        </is>
      </c>
      <c r="F315" s="53" t="inlineStr">
        <is>
          <t>not applicable</t>
        </is>
      </c>
      <c r="G315" s="55" t="n"/>
      <c r="H315" s="47" t="n"/>
      <c r="I315" s="47" t="n"/>
      <c r="J315" s="49" t="n"/>
      <c r="K315" s="49" t="n"/>
      <c r="L315" s="49" t="n"/>
      <c r="M315" s="49" t="n"/>
    </row>
    <row r="316" outlineLevel="1" ht="28.5" customFormat="1" customHeight="1" s="36">
      <c r="A316" s="37">
        <f>A311&amp;"_"&amp;B316</f>
        <v/>
      </c>
      <c r="B316" s="50" t="n">
        <v>4</v>
      </c>
      <c r="C316" s="185" t="n"/>
      <c r="D316" s="185" t="n"/>
      <c r="E316" s="45" t="inlineStr">
        <is>
          <t>– basic software
基本软件</t>
        </is>
      </c>
      <c r="F316" s="53" t="inlineStr">
        <is>
          <t>not applicable</t>
        </is>
      </c>
      <c r="G316" s="46" t="n"/>
      <c r="H316" s="47" t="n"/>
      <c r="I316" s="47" t="n"/>
      <c r="J316" s="48" t="n"/>
      <c r="K316" s="49" t="n"/>
      <c r="L316" s="49" t="n"/>
      <c r="M316" s="49" t="n"/>
    </row>
    <row r="317" outlineLevel="1" ht="43.5" customFormat="1" customHeight="1" s="36">
      <c r="A317" s="37">
        <f>A311&amp;"_"&amp;B317</f>
        <v/>
      </c>
      <c r="B317" s="42" t="n">
        <v>5</v>
      </c>
      <c r="C317" s="185" t="n"/>
      <c r="D317" s="185" t="n"/>
      <c r="E317" s="45" t="inlineStr">
        <is>
          <t xml:space="preserve">– operating system including scheduler
——包含调度器的操作系统
</t>
        </is>
      </c>
      <c r="F317" s="53" t="inlineStr">
        <is>
          <t>not applicable</t>
        </is>
      </c>
      <c r="G317" s="55" t="n"/>
      <c r="H317" s="47" t="n"/>
      <c r="I317" s="47" t="n"/>
      <c r="J317" s="49" t="n"/>
      <c r="K317" s="49" t="n"/>
      <c r="L317" s="49" t="n"/>
      <c r="M317" s="49" t="n"/>
    </row>
    <row r="318" outlineLevel="1" ht="28.5" customFormat="1" customHeight="1" s="36">
      <c r="A318" s="37">
        <f>A311&amp;"_"&amp;B318</f>
        <v/>
      </c>
      <c r="B318" s="50" t="n">
        <v>6</v>
      </c>
      <c r="C318" s="185" t="n"/>
      <c r="D318" s="185" t="n"/>
      <c r="E318" s="45" t="inlineStr">
        <is>
          <t>– communication stack
通信协议栈</t>
        </is>
      </c>
      <c r="F318" s="53" t="inlineStr">
        <is>
          <t>not applicable</t>
        </is>
      </c>
      <c r="G318" s="46" t="n"/>
      <c r="H318" s="47" t="n"/>
      <c r="I318" s="47" t="n"/>
      <c r="J318" s="48" t="n"/>
      <c r="K318" s="49" t="n"/>
      <c r="L318" s="49" t="n"/>
      <c r="M318" s="49" t="n"/>
    </row>
    <row r="319" outlineLevel="1" ht="29" customFormat="1" customHeight="1" s="36">
      <c r="A319" s="37">
        <f>A311&amp;"_"&amp;B319</f>
        <v/>
      </c>
      <c r="B319" s="42" t="n">
        <v>7</v>
      </c>
      <c r="C319" s="185" t="n"/>
      <c r="D319" s="185" t="n"/>
      <c r="E319" s="45" t="inlineStr">
        <is>
          <t xml:space="preserve">– parameter file参数文件
</t>
        </is>
      </c>
      <c r="F319" s="53" t="inlineStr">
        <is>
          <t>not applicable</t>
        </is>
      </c>
      <c r="G319" s="55" t="n"/>
      <c r="H319" s="47" t="n"/>
      <c r="I319" s="47" t="n"/>
      <c r="J319" s="49" t="n"/>
      <c r="K319" s="49" t="n"/>
      <c r="L319" s="49" t="n"/>
      <c r="M319" s="49" t="n"/>
    </row>
    <row r="320" outlineLevel="1" ht="28.5" customFormat="1" customHeight="1" s="36">
      <c r="A320" s="37">
        <f>A311&amp;"_"&amp;B320</f>
        <v/>
      </c>
      <c r="B320" s="50" t="n">
        <v>8</v>
      </c>
      <c r="C320" s="185" t="n"/>
      <c r="D320" s="185" t="n"/>
      <c r="E320" s="45" t="inlineStr">
        <is>
          <t>– execution time
执行时间</t>
        </is>
      </c>
      <c r="F320" s="53" t="inlineStr">
        <is>
          <t>not applicable</t>
        </is>
      </c>
      <c r="G320" s="55" t="n"/>
      <c r="H320" s="47" t="n"/>
      <c r="I320" s="47" t="n"/>
      <c r="J320" s="49" t="n"/>
      <c r="K320" s="49" t="n"/>
      <c r="L320" s="49" t="n"/>
      <c r="M320" s="49" t="n"/>
    </row>
    <row r="321" outlineLevel="1" ht="14.5" customFormat="1" customHeight="1" s="36">
      <c r="A321" s="37">
        <f>A311&amp;"_"&amp;B321</f>
        <v/>
      </c>
      <c r="B321" s="42" t="n">
        <v>9</v>
      </c>
      <c r="C321" s="186" t="n"/>
      <c r="D321" s="186" t="n"/>
      <c r="E321" s="45" t="inlineStr">
        <is>
          <t>– allocated memory</t>
        </is>
      </c>
      <c r="F321" s="53" t="inlineStr">
        <is>
          <t>not applicable</t>
        </is>
      </c>
      <c r="G321" s="55" t="n"/>
      <c r="H321" s="47" t="n"/>
      <c r="I321" s="47" t="n"/>
      <c r="J321" s="49" t="n"/>
      <c r="K321" s="49" t="n"/>
      <c r="L321" s="49" t="n"/>
      <c r="M321" s="49" t="n"/>
    </row>
    <row r="322" outlineLevel="1" ht="28.5" customFormat="1" customHeight="1" s="36">
      <c r="A322" s="37">
        <f>A311&amp;"_"&amp;B322</f>
        <v/>
      </c>
      <c r="B322" s="50" t="n">
        <v>10</v>
      </c>
      <c r="C322" s="187" t="inlineStr">
        <is>
          <t>Components of
identical type</t>
        </is>
      </c>
      <c r="D322" s="187" t="inlineStr">
        <is>
          <t>Identical components may fail with higher probability simultaneously (common mode failures)</t>
        </is>
      </c>
      <c r="E322" s="45" t="inlineStr">
        <is>
          <t>• Reused standard software modules
重复使用的标准软件模块</t>
        </is>
      </c>
      <c r="F322" s="53" t="inlineStr">
        <is>
          <t>not applicable</t>
        </is>
      </c>
      <c r="G322" s="46" t="n"/>
      <c r="H322" s="47" t="n"/>
      <c r="I322" s="47" t="n"/>
      <c r="J322" s="48" t="n"/>
      <c r="K322" s="49" t="n"/>
      <c r="L322" s="49" t="n"/>
      <c r="M322" s="49" t="n"/>
    </row>
    <row r="323" outlineLevel="1" ht="28.5" customFormat="1" customHeight="1" s="36">
      <c r="A323" s="37">
        <f>A311&amp;"_"&amp;B323</f>
        <v/>
      </c>
      <c r="B323" s="42" t="n">
        <v>11</v>
      </c>
      <c r="C323" s="185" t="n"/>
      <c r="D323" s="185" t="n"/>
      <c r="E323" s="45" t="inlineStr">
        <is>
          <t>• Standard library components
标准库组件</t>
        </is>
      </c>
      <c r="F323" s="53" t="inlineStr">
        <is>
          <t>not applicable</t>
        </is>
      </c>
      <c r="G323" s="46" t="n"/>
      <c r="H323" s="47" t="n"/>
      <c r="I323" s="47" t="n"/>
      <c r="J323" s="48" t="n"/>
      <c r="K323" s="49" t="n"/>
      <c r="L323" s="49" t="n"/>
      <c r="M323" s="49" t="n"/>
    </row>
    <row r="324" outlineLevel="1" ht="28.5" customFormat="1" customHeight="1" s="36">
      <c r="A324" s="37">
        <f>A311&amp;"_"&amp;B324</f>
        <v/>
      </c>
      <c r="B324" s="50" t="n">
        <v>12</v>
      </c>
      <c r="C324" s="185" t="n"/>
      <c r="D324" s="185" t="n"/>
      <c r="E324" s="45" t="inlineStr">
        <is>
          <t>• Middleware
中间件</t>
        </is>
      </c>
      <c r="F324" s="53" t="inlineStr">
        <is>
          <t>not applicable</t>
        </is>
      </c>
      <c r="G324" s="55" t="n"/>
      <c r="H324" s="47" t="n"/>
      <c r="I324" s="47" t="n"/>
      <c r="J324" s="49" t="n"/>
      <c r="K324" s="49" t="n"/>
      <c r="L324" s="49" t="n"/>
      <c r="M324" s="49" t="n"/>
    </row>
    <row r="325" outlineLevel="1" ht="28.5" customFormat="1" customHeight="1" s="36">
      <c r="A325" s="37">
        <f>A311&amp;"_"&amp;B325</f>
        <v/>
      </c>
      <c r="B325" s="42" t="n">
        <v>13</v>
      </c>
      <c r="C325" s="185" t="n"/>
      <c r="D325" s="185" t="n"/>
      <c r="E325" s="45" t="inlineStr">
        <is>
          <t>• Operating system
操作系统</t>
        </is>
      </c>
      <c r="F325" s="53" t="inlineStr">
        <is>
          <t>not applicable</t>
        </is>
      </c>
      <c r="G325" s="55" t="n"/>
      <c r="H325" s="47" t="n"/>
      <c r="I325" s="47" t="n"/>
      <c r="J325" s="49" t="n"/>
      <c r="K325" s="49" t="n"/>
      <c r="L325" s="49" t="n"/>
      <c r="M325" s="49" t="n"/>
    </row>
    <row r="326" outlineLevel="1" ht="28.5" customFormat="1" customHeight="1" s="36">
      <c r="A326" s="37">
        <f>A311&amp;"_"&amp;B326</f>
        <v/>
      </c>
      <c r="B326" s="50" t="n">
        <v>14</v>
      </c>
      <c r="C326" s="185" t="n"/>
      <c r="D326" s="185" t="n"/>
      <c r="E326" s="45" t="inlineStr">
        <is>
          <t>• Communication stack
通信栈</t>
        </is>
      </c>
      <c r="F326" s="53" t="inlineStr">
        <is>
          <t>not applicable</t>
        </is>
      </c>
      <c r="G326" s="55" t="n"/>
      <c r="H326" s="47" t="n"/>
      <c r="I326" s="47" t="n"/>
      <c r="J326" s="49" t="n"/>
      <c r="K326" s="49" t="n"/>
      <c r="L326" s="49" t="n"/>
      <c r="M326" s="49" t="n"/>
    </row>
    <row r="327" outlineLevel="1" ht="58" customFormat="1" customHeight="1" s="36">
      <c r="A327" s="37">
        <f>A311&amp;"_"&amp;B327</f>
        <v/>
      </c>
      <c r="B327" s="42" t="n">
        <v>15</v>
      </c>
      <c r="C327" s="186" t="n"/>
      <c r="D327" s="186" t="n"/>
      <c r="E327" s="45" t="inlineStr">
        <is>
          <t xml:space="preserve">
• Parameter set
参数设置
</t>
        </is>
      </c>
      <c r="F327" s="53" t="inlineStr">
        <is>
          <t>not applicable</t>
        </is>
      </c>
      <c r="G327" s="55" t="n"/>
      <c r="H327" s="47" t="n"/>
      <c r="I327" s="47" t="n"/>
      <c r="J327" s="49" t="n"/>
      <c r="K327" s="49" t="n"/>
      <c r="L327" s="49" t="n"/>
      <c r="M327" s="49" t="n"/>
    </row>
    <row r="328" outlineLevel="1" ht="100.5" customFormat="1" customHeight="1" s="36">
      <c r="A328" s="37">
        <f>A311&amp;"_"&amp;B328</f>
        <v/>
      </c>
      <c r="B328" s="50" t="n">
        <v>16</v>
      </c>
      <c r="C328" s="187" t="inlineStr">
        <is>
          <t>Communication
between the two
functions</t>
        </is>
      </c>
      <c r="D328" s="184" t="inlineStr">
        <is>
          <t>Receiving function is affected by information that is false, lost, sent multiple times, or in the wrong order etc. from the sender</t>
        </is>
      </c>
      <c r="E328"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328" s="53" t="inlineStr">
        <is>
          <t>not applicable</t>
        </is>
      </c>
      <c r="G328" s="46" t="n"/>
      <c r="H328" s="47" t="n"/>
      <c r="I328" s="47" t="n"/>
      <c r="J328" s="48" t="n"/>
      <c r="K328" s="49" t="n"/>
      <c r="L328" s="49" t="n"/>
      <c r="M328" s="49" t="n"/>
    </row>
    <row r="329" outlineLevel="1" ht="72.5" customFormat="1" customHeight="1" s="36">
      <c r="A329" s="37">
        <f>A311&amp;"_"&amp;B329</f>
        <v/>
      </c>
      <c r="B329" s="42" t="n">
        <v>17</v>
      </c>
      <c r="C329" s="185" t="n"/>
      <c r="D329" s="185" t="n"/>
      <c r="E329" s="45" t="inlineStr">
        <is>
          <t>• Data or message corruption/ repetition*/ loss*/ delay*/ masquerading or incorrect addressing of information*
数据或信息的损坏/重复/丢失/延迟/伪装或信息的错误标识*</t>
        </is>
      </c>
      <c r="F329" s="53" t="inlineStr">
        <is>
          <t>not applicable</t>
        </is>
      </c>
      <c r="G329" s="55" t="n"/>
      <c r="H329" s="47" t="n"/>
      <c r="I329" s="47" t="n"/>
      <c r="J329" s="49" t="n"/>
      <c r="K329" s="49" t="n"/>
      <c r="L329" s="49" t="n"/>
      <c r="M329" s="49" t="n"/>
    </row>
    <row r="330" outlineLevel="1" ht="49" customFormat="1" customHeight="1" s="36">
      <c r="A330" s="37">
        <f>A311&amp;"_"&amp;B330</f>
        <v/>
      </c>
      <c r="B330" s="50" t="n">
        <v>18</v>
      </c>
      <c r="C330" s="185" t="n"/>
      <c r="D330" s="185" t="n"/>
      <c r="E330" s="45" t="inlineStr">
        <is>
          <t>• Insertion*/ sequence of information*
插入* / 信息序列*</t>
        </is>
      </c>
      <c r="F330" s="53" t="inlineStr">
        <is>
          <t>not applicable</t>
        </is>
      </c>
      <c r="G330" s="55" t="n"/>
      <c r="H330" s="47" t="n"/>
      <c r="I330" s="47" t="n"/>
      <c r="J330" s="49" t="n"/>
      <c r="K330" s="49" t="n"/>
      <c r="L330" s="49" t="n"/>
      <c r="M330" s="49" t="n"/>
    </row>
    <row r="331" outlineLevel="1" ht="48" customFormat="1" customHeight="1" s="36">
      <c r="A331" s="37">
        <f>A311&amp;"_"&amp;B331</f>
        <v/>
      </c>
      <c r="B331" s="42" t="n">
        <v>19</v>
      </c>
      <c r="C331" s="185" t="n"/>
      <c r="D331" s="185" t="n"/>
      <c r="E331" s="45" t="inlineStr">
        <is>
          <t>• Corruption of information*
信息的失真*</t>
        </is>
      </c>
      <c r="F331" s="53" t="inlineStr">
        <is>
          <t>not applicable</t>
        </is>
      </c>
      <c r="G331" s="55" t="n"/>
      <c r="H331" s="47" t="n"/>
      <c r="I331" s="47" t="n"/>
      <c r="J331" s="49" t="n"/>
      <c r="K331" s="49" t="n"/>
      <c r="L331" s="49" t="n"/>
      <c r="M331" s="49" t="n"/>
    </row>
    <row r="332" outlineLevel="1" ht="48" customFormat="1" customHeight="1" s="36">
      <c r="A332" s="37">
        <f>A311&amp;"_"&amp;B332</f>
        <v/>
      </c>
      <c r="B332" s="50" t="n">
        <v>20</v>
      </c>
      <c r="C332" s="185" t="n"/>
      <c r="D332" s="185" t="n"/>
      <c r="E332" s="45" t="inlineStr">
        <is>
          <t>• Asymmetric information sent from a sender to multiple receivers*
从发送者传向多个接收者的不对称信息*</t>
        </is>
      </c>
      <c r="F332" s="53" t="inlineStr">
        <is>
          <t>not applicable</t>
        </is>
      </c>
      <c r="G332" s="55" t="n"/>
      <c r="H332" s="47" t="n"/>
      <c r="I332" s="47" t="n"/>
      <c r="J332" s="49" t="n"/>
      <c r="K332" s="49" t="n"/>
      <c r="L332" s="49" t="n"/>
      <c r="M332" s="49" t="n"/>
    </row>
    <row r="333" outlineLevel="1" ht="48" customFormat="1" customHeight="1" s="36">
      <c r="A333" s="37">
        <f>A311&amp;"_"&amp;B333</f>
        <v/>
      </c>
      <c r="B333" s="42" t="n">
        <v>21</v>
      </c>
      <c r="C333" s="185" t="n"/>
      <c r="D333" s="185" t="n"/>
      <c r="E333" s="45" t="inlineStr">
        <is>
          <t>• Information from a sender received by only a subset of the receivers*
仅部分接收者接收到的来自发送者的信息*</t>
        </is>
      </c>
      <c r="F333" s="53" t="inlineStr">
        <is>
          <t>not applicable</t>
        </is>
      </c>
      <c r="G333" s="55" t="n"/>
      <c r="H333" s="47" t="n"/>
      <c r="I333" s="47" t="n"/>
      <c r="J333" s="49" t="n"/>
      <c r="K333" s="49" t="n"/>
      <c r="L333" s="49" t="n"/>
      <c r="M333" s="49" t="n"/>
    </row>
    <row r="334" outlineLevel="1" ht="43.5" customFormat="1" customHeight="1" s="36">
      <c r="A334" s="37">
        <f>A311&amp;"_"&amp;B334</f>
        <v/>
      </c>
      <c r="B334" s="50" t="n">
        <v>22</v>
      </c>
      <c r="C334" s="186" t="n"/>
      <c r="D334" s="186" t="n"/>
      <c r="E334" s="45" t="inlineStr">
        <is>
          <t>• Blocking access to a communication channel*
阻止对通信通道的访问*</t>
        </is>
      </c>
      <c r="F334" s="53" t="inlineStr">
        <is>
          <t>not applicable</t>
        </is>
      </c>
      <c r="G334" s="46" t="n"/>
      <c r="H334" s="47" t="n"/>
      <c r="I334" s="47" t="n"/>
      <c r="J334" s="48" t="n"/>
      <c r="K334" s="49" t="n"/>
      <c r="L334" s="49" t="n"/>
      <c r="M334" s="49" t="n"/>
    </row>
    <row r="335" outlineLevel="1" ht="45" customFormat="1" customHeight="1" s="36">
      <c r="A335" s="37">
        <f>A311&amp;"_"&amp;B335</f>
        <v/>
      </c>
      <c r="B335" s="42" t="n">
        <v>23</v>
      </c>
      <c r="C335" s="187" t="inlineStr">
        <is>
          <t>Shared information
inputs</t>
        </is>
      </c>
      <c r="D335" s="187" t="inlineStr">
        <is>
          <t>Same information consumed by the two functions even in absence of shared resources, i.e. from a functional perspective</t>
        </is>
      </c>
      <c r="E335" s="45" t="inlineStr">
        <is>
          <t>• Calibration parameters
标准参数</t>
        </is>
      </c>
      <c r="F335" s="53" t="inlineStr">
        <is>
          <t>not applicable</t>
        </is>
      </c>
      <c r="G335" s="55" t="n"/>
      <c r="H335" s="47" t="n"/>
      <c r="I335" s="47" t="n"/>
      <c r="J335" s="49" t="n"/>
      <c r="K335" s="49" t="n"/>
      <c r="L335" s="49" t="n"/>
      <c r="M335" s="49" t="n"/>
    </row>
    <row r="336" outlineLevel="1" ht="57" customFormat="1" customHeight="1" s="36">
      <c r="A336" s="37">
        <f>A311&amp;"_"&amp;B336</f>
        <v/>
      </c>
      <c r="B336" s="50" t="n">
        <v>24</v>
      </c>
      <c r="C336" s="185" t="n"/>
      <c r="D336" s="185" t="n"/>
      <c r="E336" s="45" t="inlineStr">
        <is>
          <t>• Constants, or variables, being global to the two software functions
常量或变量对于这两个软件功能而言是全局性的。</t>
        </is>
      </c>
      <c r="F336" s="53" t="inlineStr">
        <is>
          <t>not applicable</t>
        </is>
      </c>
      <c r="G336" s="46" t="n"/>
      <c r="H336" s="47" t="n"/>
      <c r="I336" s="47" t="n"/>
      <c r="J336" s="48" t="n"/>
      <c r="K336" s="49" t="n"/>
      <c r="L336" s="49" t="n"/>
      <c r="M336" s="49" t="n"/>
    </row>
    <row r="337" outlineLevel="1" ht="100" customFormat="1" customHeight="1" s="36">
      <c r="A337" s="37">
        <f>A311&amp;"_"&amp;B337</f>
        <v/>
      </c>
      <c r="B337" s="42" t="n">
        <v>25</v>
      </c>
      <c r="C337" s="185" t="n"/>
      <c r="D337" s="185" t="n"/>
      <c r="E337" s="45" t="inlineStr">
        <is>
          <t>• Basic software passes data (read from hardware register and converted into logical information) to two application software functions
基础软件会将数据（从硬件寄存器读取并转换为逻辑信息）传递给两个应用程序软件功能。</t>
        </is>
      </c>
      <c r="F337" s="53" t="inlineStr">
        <is>
          <t>not applicable</t>
        </is>
      </c>
      <c r="G337" s="55" t="n"/>
      <c r="H337" s="47" t="n"/>
      <c r="I337" s="47" t="n"/>
      <c r="J337" s="49" t="n"/>
      <c r="K337" s="49" t="n"/>
      <c r="L337" s="49" t="n"/>
      <c r="M337" s="49" t="n"/>
    </row>
    <row r="338" outlineLevel="1" ht="115.5" customFormat="1" customHeight="1" s="36">
      <c r="A338" s="37">
        <f>A311&amp;"_"&amp;B338</f>
        <v/>
      </c>
      <c r="B338" s="50" t="n">
        <v>26</v>
      </c>
      <c r="C338" s="186" t="n"/>
      <c r="D338" s="186" t="n"/>
      <c r="E338"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338" s="53" t="inlineStr">
        <is>
          <t>not applicable</t>
        </is>
      </c>
      <c r="G338" s="55" t="n"/>
      <c r="H338" s="47" t="n"/>
      <c r="I338" s="47" t="n"/>
      <c r="J338" s="49" t="n"/>
      <c r="K338" s="49" t="n"/>
      <c r="L338" s="49" t="n"/>
      <c r="M338" s="49" t="n"/>
    </row>
    <row r="339" outlineLevel="1" ht="68.5" customFormat="1" customHeight="1" s="36">
      <c r="A339" s="37">
        <f>A311&amp;"_"&amp;B339</f>
        <v/>
      </c>
      <c r="B339" s="42" t="n">
        <v>27</v>
      </c>
      <c r="C339" s="187" t="inlineStr">
        <is>
          <t>Environmental
influences</t>
        </is>
      </c>
      <c r="D339" s="184" t="inlineStr">
        <is>
          <t>Common external environmental disturbance affects both functions</t>
        </is>
      </c>
      <c r="E339" s="45" t="inlineStr">
        <is>
          <t xml:space="preserve">System-level: mechanical shock, water ingress
 系统层面：机械震动、进水                                                                                                                                                                </t>
        </is>
      </c>
      <c r="F339" s="53" t="inlineStr">
        <is>
          <t>not applicable</t>
        </is>
      </c>
      <c r="G339" s="55" t="n"/>
      <c r="H339" s="47" t="n"/>
      <c r="I339" s="47" t="n"/>
      <c r="J339" s="49" t="n"/>
      <c r="K339" s="49" t="n"/>
      <c r="L339" s="49" t="n"/>
      <c r="M339" s="49" t="n"/>
    </row>
    <row r="340" outlineLevel="1" ht="28.5" customFormat="1" customHeight="1" s="36">
      <c r="A340" s="37">
        <f>A311&amp;"_"&amp;B340</f>
        <v/>
      </c>
      <c r="B340" s="50" t="n">
        <v>28</v>
      </c>
      <c r="C340" s="185" t="n"/>
      <c r="D340" s="185" t="n"/>
      <c r="E340" s="45" t="inlineStr">
        <is>
          <t>Software-level: not applicable for Software
软件层面：不适用于软件</t>
        </is>
      </c>
      <c r="F340" s="53" t="inlineStr">
        <is>
          <t>not applicable</t>
        </is>
      </c>
      <c r="G340" s="55" t="n"/>
      <c r="H340" s="47" t="n"/>
      <c r="I340" s="47" t="n"/>
      <c r="J340" s="49" t="n"/>
      <c r="K340" s="49" t="n"/>
      <c r="L340" s="49" t="n"/>
      <c r="M340" s="49" t="n"/>
    </row>
    <row r="341" outlineLevel="1" ht="43" customFormat="1" customHeight="1" s="36">
      <c r="A341" s="37">
        <f>A311&amp;"_"&amp;B341</f>
        <v/>
      </c>
      <c r="B341" s="42" t="n">
        <v>29</v>
      </c>
      <c r="C341" s="186" t="n"/>
      <c r="D341" s="186" t="n"/>
      <c r="E341" s="45" t="inlineStr">
        <is>
          <t>Hardware-level: under and over voltage of the power supply        
硬件层面：电源的欠压和过压情况</t>
        </is>
      </c>
      <c r="F341" s="53" t="inlineStr">
        <is>
          <t>not applicable</t>
        </is>
      </c>
      <c r="G341" s="55" t="n"/>
      <c r="H341" s="47" t="n"/>
      <c r="I341" s="47" t="n"/>
      <c r="J341" s="49" t="n"/>
      <c r="K341" s="49" t="n"/>
      <c r="L341" s="49" t="n"/>
      <c r="M341" s="49" t="n"/>
    </row>
    <row r="342" outlineLevel="1" ht="78" customFormat="1" customHeight="1" s="36">
      <c r="A342" s="37">
        <f>A311&amp;"_"&amp;B342</f>
        <v/>
      </c>
      <c r="B342" s="50" t="n">
        <v>30</v>
      </c>
      <c r="C342" s="187" t="inlineStr">
        <is>
          <t>Unintended impact</t>
        </is>
      </c>
      <c r="D342" s="187" t="inlineStr">
        <is>
          <t>Two functions affecting each other’s elements directly via an implicit, that is unintended interface.</t>
        </is>
      </c>
      <c r="E342" s="45" t="inlineStr">
        <is>
          <t>• Memory / corruption of content*
– “wild pointers“ (including program counter stack)
内存/内容损坏*
——“失控指针”（包括程序计数器栈</t>
        </is>
      </c>
      <c r="F342" s="45" t="inlineStr">
        <is>
          <t xml:space="preserve">Yes </t>
        </is>
      </c>
      <c r="G342" s="46" t="inlineStr">
        <is>
          <t>转向灯控制模块失效会导致转向灯输出和反馈异常，违背安全目标SG02</t>
        </is>
      </c>
      <c r="H342" s="47" t="inlineStr">
        <is>
          <t xml:space="preserve">
1：支持外部看门狗，对异常中断造成的任务停滞进行复位处理
</t>
        </is>
      </c>
      <c r="I342" s="47" t="inlineStr">
        <is>
          <t>SW_DFA_SM_004</t>
        </is>
      </c>
      <c r="J342" s="48" t="inlineStr">
        <is>
          <t>通过集成测试</t>
        </is>
      </c>
      <c r="K342" s="49" t="inlineStr">
        <is>
          <t>满足ASILA开发和测试</t>
        </is>
      </c>
      <c r="L342" s="49" t="n"/>
      <c r="M342" s="49" t="n"/>
    </row>
    <row r="343" outlineLevel="1" ht="78" customFormat="1" customHeight="1" s="36">
      <c r="A343" s="37">
        <f>A311&amp;"_"&amp;B343</f>
        <v/>
      </c>
      <c r="B343" s="42" t="n">
        <v>31</v>
      </c>
      <c r="C343" s="185" t="n"/>
      <c r="D343" s="185" t="n"/>
      <c r="E343" s="45" t="inlineStr">
        <is>
          <t>– memory mis-allocation
——内存分配错误</t>
        </is>
      </c>
      <c r="F343" s="45" t="inlineStr">
        <is>
          <t xml:space="preserve">Yes </t>
        </is>
      </c>
      <c r="G343" s="46" t="inlineStr">
        <is>
          <t>转向灯控制模块失效会导致转向灯输出和反馈异常，违背安全目标SG02</t>
        </is>
      </c>
      <c r="H343" s="47" t="inlineStr">
        <is>
          <t xml:space="preserve">
1：支持外部看门狗，对异常中断造成的任务停滞进行复位处理
</t>
        </is>
      </c>
      <c r="I343" s="47" t="inlineStr">
        <is>
          <t>SW_DFA_SM_004</t>
        </is>
      </c>
      <c r="J343" s="48" t="inlineStr">
        <is>
          <t>通过集成测试</t>
        </is>
      </c>
      <c r="K343" s="49" t="inlineStr">
        <is>
          <t>满足ASILA开发和测试</t>
        </is>
      </c>
      <c r="L343" s="49" t="n"/>
      <c r="M343" s="49" t="n"/>
    </row>
    <row r="344" outlineLevel="1" ht="78" customFormat="1" customHeight="1" s="36">
      <c r="A344" s="37">
        <f>A311&amp;"_"&amp;B344</f>
        <v/>
      </c>
      <c r="B344" s="50" t="n">
        <v>32</v>
      </c>
      <c r="C344" s="185" t="n"/>
      <c r="D344" s="185" t="n"/>
      <c r="E344" s="45" t="inlineStr">
        <is>
          <t>– memory leaks
内存泄漏</t>
        </is>
      </c>
      <c r="F344" s="45" t="inlineStr">
        <is>
          <t xml:space="preserve">Yes </t>
        </is>
      </c>
      <c r="G344" s="46" t="inlineStr">
        <is>
          <t>转向灯控制模块失效会导致转向灯输出和反馈异常，违背安全目标SG02</t>
        </is>
      </c>
      <c r="H344" s="47" t="inlineStr">
        <is>
          <t xml:space="preserve">
1：支持外部看门狗，对异常中断造成的任务停滞进行复位处理
</t>
        </is>
      </c>
      <c r="I344" s="47" t="inlineStr">
        <is>
          <t>SW_DFA_SM_004</t>
        </is>
      </c>
      <c r="J344" s="48" t="inlineStr">
        <is>
          <t>通过集成测试</t>
        </is>
      </c>
      <c r="K344" s="49" t="inlineStr">
        <is>
          <t>满足ASILA开发和测试</t>
        </is>
      </c>
      <c r="L344" s="49" t="n"/>
      <c r="M344" s="49" t="n"/>
    </row>
    <row r="345" outlineLevel="1" ht="58" customFormat="1" customHeight="1" s="36">
      <c r="A345" s="37">
        <f>A311&amp;"_"&amp;B345</f>
        <v/>
      </c>
      <c r="B345" s="42" t="n">
        <v>33</v>
      </c>
      <c r="C345" s="185" t="n"/>
      <c r="D345" s="185" t="n"/>
      <c r="E345" s="45" t="inlineStr">
        <is>
          <t>– read/write access to memory allocated to another software element*
—— 对分配给其他软件组件的内存的读/写访问权限*</t>
        </is>
      </c>
      <c r="F345" s="53" t="inlineStr">
        <is>
          <t>not applicable</t>
        </is>
      </c>
      <c r="G345" s="55" t="n"/>
      <c r="H345" s="47" t="n"/>
      <c r="I345" s="47" t="n"/>
      <c r="J345" s="49" t="n"/>
      <c r="K345" s="49" t="n"/>
      <c r="L345" s="49" t="n"/>
      <c r="M345" s="49" t="n"/>
    </row>
    <row r="346" outlineLevel="1" ht="29" customFormat="1" customHeight="1" s="36">
      <c r="A346" s="37">
        <f>A311&amp;"_"&amp;B346</f>
        <v/>
      </c>
      <c r="B346" s="50" t="n">
        <v>34</v>
      </c>
      <c r="C346" s="185" t="n"/>
      <c r="D346" s="185" t="n"/>
      <c r="E346" s="45" t="inlineStr">
        <is>
          <t>– buffer under-/overflow
– 缓冲区下溢/上溢</t>
        </is>
      </c>
      <c r="F346" s="53" t="inlineStr">
        <is>
          <t>not applicable</t>
        </is>
      </c>
      <c r="G346" s="55" t="n"/>
      <c r="H346" s="47" t="n"/>
      <c r="I346" s="47" t="n"/>
      <c r="J346" s="49" t="n"/>
      <c r="K346" s="49" t="n"/>
      <c r="L346" s="49" t="n"/>
      <c r="M346" s="49" t="n"/>
    </row>
    <row r="347" outlineLevel="1" ht="57.5" customFormat="1" customHeight="1" s="36">
      <c r="A347" s="37">
        <f>A311&amp;"_"&amp;B347</f>
        <v/>
      </c>
      <c r="B347" s="42" t="n">
        <v>35</v>
      </c>
      <c r="C347" s="185" t="n"/>
      <c r="D347" s="185" t="n"/>
      <c r="E347" s="45" t="inlineStr">
        <is>
          <t>• Timing and execution
– deadlocks*
时机与执行
——死锁*</t>
        </is>
      </c>
      <c r="F347" s="53" t="inlineStr">
        <is>
          <t>not applicable</t>
        </is>
      </c>
      <c r="G347" s="55" t="n"/>
      <c r="H347" s="47" t="n"/>
      <c r="I347" s="47" t="n"/>
      <c r="J347" s="49" t="n"/>
      <c r="K347" s="49" t="n"/>
      <c r="L347" s="49" t="n"/>
      <c r="M347" s="49" t="n"/>
    </row>
    <row r="348" outlineLevel="1" ht="28.5" customFormat="1" customHeight="1" s="36">
      <c r="A348" s="37">
        <f>A311&amp;"_"&amp;B348</f>
        <v/>
      </c>
      <c r="B348" s="50" t="n">
        <v>36</v>
      </c>
      <c r="C348" s="185" t="n"/>
      <c r="D348" s="185" t="n"/>
      <c r="E348" s="45" t="inlineStr">
        <is>
          <t>– livelocks*
活锁</t>
        </is>
      </c>
      <c r="F348" s="53" t="inlineStr">
        <is>
          <t>not applicable</t>
        </is>
      </c>
      <c r="G348" s="55" t="n"/>
      <c r="H348" s="47" t="n"/>
      <c r="I348" s="47" t="n"/>
      <c r="J348" s="49" t="n"/>
      <c r="K348" s="49" t="n"/>
      <c r="L348" s="49" t="n"/>
      <c r="M348" s="49" t="n"/>
    </row>
    <row r="349" outlineLevel="1" ht="29" customFormat="1" customHeight="1" s="36">
      <c r="A349" s="37">
        <f>A311&amp;"_"&amp;B349</f>
        <v/>
      </c>
      <c r="B349" s="42" t="n">
        <v>37</v>
      </c>
      <c r="C349" s="185" t="n"/>
      <c r="D349" s="185" t="n"/>
      <c r="E349" s="45" t="inlineStr">
        <is>
          <t>– incorrect allocation of execution time*
——执行时间分配不当*</t>
        </is>
      </c>
      <c r="F349" s="53" t="inlineStr">
        <is>
          <t>not applicable</t>
        </is>
      </c>
      <c r="G349" s="55" t="n"/>
      <c r="H349" s="47" t="n"/>
      <c r="I349" s="47" t="n"/>
      <c r="J349" s="49" t="n"/>
      <c r="K349" s="49" t="n"/>
      <c r="L349" s="49" t="n"/>
      <c r="M349" s="49" t="n"/>
    </row>
    <row r="350" outlineLevel="1" ht="43.5" customFormat="1" customHeight="1" s="36">
      <c r="A350" s="37">
        <f>A311&amp;"_"&amp;B350</f>
        <v/>
      </c>
      <c r="B350" s="50" t="n">
        <v>38</v>
      </c>
      <c r="C350" s="186" t="n"/>
      <c r="D350" s="186" t="n"/>
      <c r="E350" s="45" t="inlineStr">
        <is>
          <t>– incorrect synchronization between software elements*
——软件各组成部分之间的同步不正确*</t>
        </is>
      </c>
      <c r="F350" s="53" t="inlineStr">
        <is>
          <t>not applicable</t>
        </is>
      </c>
      <c r="G350" s="46" t="n"/>
      <c r="H350" s="47" t="n"/>
      <c r="I350" s="47" t="n"/>
      <c r="J350" s="48" t="n"/>
      <c r="K350" s="49" t="n"/>
      <c r="L350" s="49" t="n"/>
      <c r="M350" s="49" t="n"/>
    </row>
    <row r="351" outlineLevel="1" ht="72" customFormat="1" customHeight="1" s="36">
      <c r="A351" s="37">
        <f>A311&amp;"_"&amp;B351</f>
        <v/>
      </c>
      <c r="B351" s="42" t="n">
        <v>39</v>
      </c>
      <c r="C351" s="187" t="inlineStr">
        <is>
          <t>Systematic coupling</t>
        </is>
      </c>
      <c r="D351" s="187" t="inlineStr">
        <is>
          <t>Systematic causes from human or tool errors can lead to the simultaneous failure of more than one function</t>
        </is>
      </c>
      <c r="E351" s="45" t="inlineStr">
        <is>
          <t>• Manufacturing fault / repair fault (e.g. false flashing, false calibration reference for sensors)
制造故障/维修故障（例如：错误的闪烁现象、传感器的错误校准参考值）</t>
        </is>
      </c>
      <c r="F351" s="53" t="inlineStr">
        <is>
          <t>not applicable</t>
        </is>
      </c>
      <c r="G351" s="55" t="n"/>
      <c r="H351" s="47" t="n"/>
      <c r="I351" s="47" t="n"/>
      <c r="J351" s="49" t="n"/>
      <c r="K351" s="49" t="n"/>
      <c r="L351" s="49" t="n"/>
      <c r="M351" s="49" t="n"/>
    </row>
    <row r="352" outlineLevel="1" ht="115.5" customFormat="1" customHeight="1" s="36">
      <c r="A352" s="37">
        <f>A311&amp;"_"&amp;B352</f>
        <v/>
      </c>
      <c r="B352" s="50" t="n">
        <v>40</v>
      </c>
      <c r="C352" s="185" t="n"/>
      <c r="D352" s="185" t="n"/>
      <c r="E352" s="61" t="inlineStr">
        <is>
          <t xml:space="preserve">• Non-diverse development approaches including:
– same software tools (e.g. IDE, compiler, linker)
非多元化的发展方式包括：
——相同的软件工具（例如集成开发环境、编译器、链接器）
</t>
        </is>
      </c>
      <c r="F352" s="45" t="inlineStr">
        <is>
          <t xml:space="preserve">Yes </t>
        </is>
      </c>
      <c r="G352" s="62" t="inlineStr">
        <is>
          <t>代码异常导致的违背安全目标</t>
        </is>
      </c>
      <c r="H352" s="63" t="inlineStr">
        <is>
          <t>工具鉴定</t>
        </is>
      </c>
      <c r="I352" s="63" t="n"/>
      <c r="J352" s="49" t="inlineStr">
        <is>
          <t>通过集成测试</t>
        </is>
      </c>
      <c r="K352" s="68" t="inlineStr">
        <is>
          <t>满足ASILB开发和测试</t>
        </is>
      </c>
      <c r="L352" s="68" t="n"/>
      <c r="M352" s="49" t="n"/>
    </row>
    <row r="353" outlineLevel="1" ht="28.5" customFormat="1" customHeight="1" s="36">
      <c r="A353" s="37">
        <f>A311&amp;"_"&amp;B353</f>
        <v/>
      </c>
      <c r="B353" s="42" t="n">
        <v>41</v>
      </c>
      <c r="C353" s="185" t="n"/>
      <c r="D353" s="185" t="n"/>
      <c r="E353" s="61" t="inlineStr">
        <is>
          <t>– same algorithms
相同的算法</t>
        </is>
      </c>
      <c r="F353" s="53" t="inlineStr">
        <is>
          <t>not applicable</t>
        </is>
      </c>
      <c r="G353" s="55" t="n"/>
      <c r="H353" s="47" t="n"/>
      <c r="I353" s="47" t="n"/>
      <c r="J353" s="49" t="n"/>
      <c r="K353" s="49" t="n"/>
      <c r="L353" s="49" t="n"/>
      <c r="M353" s="49" t="n"/>
    </row>
    <row r="354" outlineLevel="1" ht="43.5" customFormat="1" customHeight="1" s="36">
      <c r="A354" s="37">
        <f>A311&amp;"_"&amp;B354</f>
        <v/>
      </c>
      <c r="B354" s="50" t="n">
        <v>42</v>
      </c>
      <c r="C354" s="185" t="n"/>
      <c r="D354" s="185" t="n"/>
      <c r="E354" s="61" t="inlineStr">
        <is>
          <t>– same programming and/or modelling language used
所使用的编程和/或建模语言相同</t>
        </is>
      </c>
      <c r="F354" s="45" t="inlineStr">
        <is>
          <t xml:space="preserve">Yes </t>
        </is>
      </c>
      <c r="G354" s="62" t="inlineStr">
        <is>
          <t>代码异常导致的违背安全目标</t>
        </is>
      </c>
      <c r="H354" s="63" t="inlineStr">
        <is>
          <t>工具鉴定</t>
        </is>
      </c>
      <c r="I354" s="47" t="n"/>
      <c r="J354" s="49" t="inlineStr">
        <is>
          <t>通过集成测试</t>
        </is>
      </c>
      <c r="K354" s="49" t="inlineStr">
        <is>
          <t>满足ASILB开发和测试</t>
        </is>
      </c>
      <c r="L354" s="49" t="n"/>
      <c r="M354" s="49" t="n"/>
    </row>
    <row r="355" outlineLevel="1" ht="29" customFormat="1" customHeight="1" s="36">
      <c r="A355" s="37">
        <f>A311&amp;"_"&amp;B355</f>
        <v/>
      </c>
      <c r="B355" s="42" t="n">
        <v>43</v>
      </c>
      <c r="C355" s="185" t="n"/>
      <c r="D355" s="185" t="n"/>
      <c r="E355" s="61" t="inlineStr">
        <is>
          <t>– same complier/linker used
使用的是相同的编译器/链接器</t>
        </is>
      </c>
      <c r="F355" s="45" t="inlineStr">
        <is>
          <t xml:space="preserve">Yes </t>
        </is>
      </c>
      <c r="G355" s="62" t="inlineStr">
        <is>
          <t>代码异常导致的违背安全目标</t>
        </is>
      </c>
      <c r="H355" s="63" t="inlineStr">
        <is>
          <t>工具鉴定</t>
        </is>
      </c>
      <c r="I355" s="47" t="n"/>
      <c r="J355" s="49" t="inlineStr">
        <is>
          <t>通过集成测试</t>
        </is>
      </c>
      <c r="K355" s="49" t="inlineStr">
        <is>
          <t>满足ASILB开发和测试</t>
        </is>
      </c>
      <c r="L355" s="49" t="n"/>
      <c r="M355" s="49" t="n"/>
    </row>
    <row r="356" outlineLevel="1" ht="28.5" customFormat="1" customHeight="1" s="36">
      <c r="A356" s="37">
        <f>A311&amp;"_"&amp;B356</f>
        <v/>
      </c>
      <c r="B356" s="50" t="n">
        <v>44</v>
      </c>
      <c r="C356" s="185" t="n"/>
      <c r="D356" s="185" t="n"/>
      <c r="E356" s="45" t="inlineStr">
        <is>
          <t>• Same personnel
相同人员</t>
        </is>
      </c>
      <c r="F356" s="53" t="inlineStr">
        <is>
          <t>not applicable</t>
        </is>
      </c>
      <c r="G356" s="55" t="n"/>
      <c r="H356" s="47" t="n"/>
      <c r="I356" s="47" t="n"/>
      <c r="J356" s="49" t="n"/>
      <c r="K356" s="49" t="n"/>
      <c r="L356" s="49" t="n"/>
      <c r="M356" s="49" t="n"/>
    </row>
    <row r="357" outlineLevel="1" ht="57" customFormat="1" customHeight="1" s="36">
      <c r="A357" s="37">
        <f>A311&amp;"_"&amp;B357</f>
        <v/>
      </c>
      <c r="B357" s="42" t="n">
        <v>45</v>
      </c>
      <c r="C357" s="185" t="n"/>
      <c r="D357" s="185" t="n"/>
      <c r="E357" s="45" t="inlineStr">
        <is>
          <t>• Same social-cultural context (even if different personnel)
相同的社会文化背景（即便人员有所不同）</t>
        </is>
      </c>
      <c r="F357" s="53" t="inlineStr">
        <is>
          <t>not applicable</t>
        </is>
      </c>
      <c r="G357" s="55" t="n"/>
      <c r="H357" s="47" t="n"/>
      <c r="I357" s="47" t="n"/>
      <c r="J357" s="49" t="n"/>
      <c r="K357" s="49" t="n"/>
      <c r="L357" s="49" t="n"/>
      <c r="M357" s="49" t="n"/>
    </row>
    <row r="358" outlineLevel="1" ht="57.5" customFormat="1" customHeight="1" s="36">
      <c r="A358" s="37">
        <f>A311&amp;"_"&amp;B358</f>
        <v/>
      </c>
      <c r="B358" s="50" t="n">
        <v>46</v>
      </c>
      <c r="C358" s="185" t="n"/>
      <c r="D358" s="185" t="n"/>
      <c r="E358" s="45" t="inlineStr">
        <is>
          <t>• Development fault, e.g.
– human error
开发失误，例如：
– 人为错误</t>
        </is>
      </c>
      <c r="F358" s="53" t="inlineStr">
        <is>
          <t>not applicable</t>
        </is>
      </c>
      <c r="G358" s="55" t="n"/>
      <c r="H358" s="47" t="n"/>
      <c r="I358" s="47" t="n"/>
      <c r="J358" s="49" t="n"/>
      <c r="K358" s="49" t="n"/>
      <c r="L358" s="49" t="n"/>
      <c r="M358" s="49" t="n"/>
    </row>
    <row r="359" outlineLevel="1" ht="28.5" customFormat="1" customHeight="1" s="36">
      <c r="A359" s="37">
        <f>A311&amp;"_"&amp;B359</f>
        <v/>
      </c>
      <c r="B359" s="42" t="n">
        <v>47</v>
      </c>
      <c r="C359" s="185" t="n"/>
      <c r="D359" s="185" t="n"/>
      <c r="E359" s="45" t="inlineStr">
        <is>
          <t>– insufficiently qualified personnel
资质不足的人员</t>
        </is>
      </c>
      <c r="F359" s="53" t="inlineStr">
        <is>
          <t>not applicable</t>
        </is>
      </c>
      <c r="G359" s="55" t="n"/>
      <c r="H359" s="47" t="n"/>
      <c r="I359" s="47" t="n"/>
      <c r="J359" s="49" t="n"/>
      <c r="K359" s="49" t="n"/>
      <c r="L359" s="49" t="n"/>
      <c r="M359" s="49" t="n"/>
    </row>
    <row r="360" outlineLevel="1" ht="28.5" customFormat="1" customHeight="1" s="36">
      <c r="A360" s="37">
        <f>A311&amp;"_"&amp;B360</f>
        <v/>
      </c>
      <c r="B360" s="50" t="n">
        <v>48</v>
      </c>
      <c r="C360" s="185" t="n"/>
      <c r="D360" s="185" t="n"/>
      <c r="E360" s="45" t="inlineStr">
        <is>
          <t>– process weaknesses
处理弱点</t>
        </is>
      </c>
      <c r="F360" s="53" t="inlineStr">
        <is>
          <t>not applicable</t>
        </is>
      </c>
      <c r="G360" s="55" t="n"/>
      <c r="H360" s="47" t="n"/>
      <c r="I360" s="47" t="n"/>
      <c r="J360" s="49" t="n"/>
      <c r="K360" s="49" t="n"/>
      <c r="L360" s="49" t="n"/>
      <c r="M360" s="49" t="n"/>
    </row>
    <row r="361" outlineLevel="1" ht="14.5" customFormat="1" customHeight="1" s="36">
      <c r="A361" s="37">
        <f>A311&amp;"_"&amp;B361</f>
        <v/>
      </c>
      <c r="B361" s="42" t="n">
        <v>49</v>
      </c>
      <c r="C361" s="186" t="n"/>
      <c r="D361" s="186" t="n"/>
      <c r="E361" s="45" t="inlineStr">
        <is>
          <t>– insufficient methods方法不足</t>
        </is>
      </c>
      <c r="F361" s="53" t="inlineStr">
        <is>
          <t>not applicable</t>
        </is>
      </c>
      <c r="G361" s="55" t="n"/>
      <c r="H361" s="47" t="n"/>
      <c r="I361" s="47" t="n"/>
      <c r="J361" s="49" t="n"/>
      <c r="K361" s="49" t="n"/>
      <c r="L361" s="49" t="n"/>
      <c r="M361" s="49" t="n"/>
    </row>
    <row r="362" ht="75" customFormat="1" customHeight="1" s="36">
      <c r="A362" s="67">
        <f>'Top Event'!B11</f>
        <v/>
      </c>
      <c r="B362" s="67" t="n"/>
      <c r="C362" s="67">
        <f>'Top Event'!C11</f>
        <v/>
      </c>
      <c r="D362" s="67">
        <f>'Top Event'!D11</f>
        <v/>
      </c>
      <c r="E362" s="67">
        <f>'Top Event'!E11</f>
        <v/>
      </c>
      <c r="F362" s="66" t="n"/>
      <c r="G362" s="66" t="n"/>
      <c r="H362" s="64" t="n"/>
      <c r="I362" s="64" t="n"/>
      <c r="J362" s="36" t="n"/>
      <c r="K362" s="36" t="n"/>
      <c r="L362" s="36" t="n"/>
      <c r="M362" s="36" t="n"/>
    </row>
    <row r="363" ht="37.25" customFormat="1" customHeight="1" s="36">
      <c r="A363" s="37" t="n"/>
      <c r="B363" s="37" t="n"/>
      <c r="C363" s="38" t="inlineStr">
        <is>
          <t>DF-I Category</t>
        </is>
      </c>
      <c r="D363" s="38" t="inlineStr">
        <is>
          <t>Interpretation</t>
        </is>
      </c>
      <c r="E363" s="38" t="inlineStr">
        <is>
          <t>DF-Initiator Examples</t>
        </is>
      </c>
      <c r="F363" s="38" t="inlineStr">
        <is>
          <t>Applicable?</t>
        </is>
      </c>
      <c r="G363" s="38" t="inlineStr">
        <is>
          <t>safety  goal related</t>
        </is>
      </c>
      <c r="H363" s="39" t="inlineStr">
        <is>
          <t>Counter Measure</t>
        </is>
      </c>
      <c r="I363" s="39" t="inlineStr">
        <is>
          <t>Counter Measure ID</t>
        </is>
      </c>
      <c r="J363" s="38" t="inlineStr">
        <is>
          <t>Evidence</t>
        </is>
      </c>
      <c r="K363" s="38" t="inlineStr">
        <is>
          <t>sufficient?</t>
        </is>
      </c>
      <c r="L363" s="38" t="n"/>
      <c r="M363" s="41" t="inlineStr">
        <is>
          <t>Comment</t>
        </is>
      </c>
    </row>
    <row r="364" outlineLevel="1" ht="86" customFormat="1" customHeight="1" s="36">
      <c r="A364" s="37">
        <f>A362&amp;"_"&amp;B364</f>
        <v/>
      </c>
      <c r="B364" s="42" t="n">
        <v>1</v>
      </c>
      <c r="C364" s="183" t="inlineStr">
        <is>
          <t>Shared resource</t>
        </is>
      </c>
      <c r="D364" s="184" t="inlineStr">
        <is>
          <t>The same software, hardware, or system element instance used by the two elements which are therefore affected by the failure or unavailability of that shared resource, i.e. from a physical perspective.</t>
        </is>
      </c>
      <c r="E364" s="45" t="inlineStr">
        <is>
          <t>Software component used by more than one other software component, e.g.
– reused standard software modules
被多个其他软件组件所使用的软件组件，例如：
– 重复使用的标准软件模块</t>
        </is>
      </c>
      <c r="F364" s="45" t="inlineStr">
        <is>
          <t xml:space="preserve">Yes </t>
        </is>
      </c>
      <c r="G364" s="46" t="inlineStr">
        <is>
          <t>NA</t>
        </is>
      </c>
      <c r="H364" s="47" t="n"/>
      <c r="I364" s="47" t="n"/>
      <c r="J364" s="48" t="inlineStr">
        <is>
          <t>通过集成测试</t>
        </is>
      </c>
      <c r="K364" s="49" t="inlineStr">
        <is>
          <t>满足ASILB开发和测试</t>
        </is>
      </c>
      <c r="L364" s="49" t="n"/>
      <c r="M364" s="49" t="n"/>
    </row>
    <row r="365" outlineLevel="1" ht="28.5" customFormat="1" customHeight="1" s="36">
      <c r="A365" s="37">
        <f>A362&amp;"_"&amp;B365</f>
        <v/>
      </c>
      <c r="B365" s="50" t="n">
        <v>2</v>
      </c>
      <c r="C365" s="185" t="n"/>
      <c r="D365" s="185" t="n"/>
      <c r="E365" s="45" t="inlineStr">
        <is>
          <t>– libraries
库</t>
        </is>
      </c>
      <c r="F365" s="53" t="inlineStr">
        <is>
          <t>not applicable</t>
        </is>
      </c>
      <c r="G365" s="55" t="n"/>
      <c r="H365" s="47" t="n"/>
      <c r="I365" s="47" t="n"/>
      <c r="J365" s="49" t="n"/>
      <c r="K365" s="49" t="n"/>
      <c r="L365" s="49" t="n"/>
      <c r="M365" s="49" t="n"/>
    </row>
    <row r="366" outlineLevel="1" ht="28.5" customFormat="1" customHeight="1" s="36">
      <c r="A366" s="37">
        <f>A362&amp;"_"&amp;B366</f>
        <v/>
      </c>
      <c r="B366" s="42" t="n">
        <v>3</v>
      </c>
      <c r="C366" s="185" t="n"/>
      <c r="D366" s="185" t="n"/>
      <c r="E366" s="45" t="inlineStr">
        <is>
          <t>– middleware
中间件</t>
        </is>
      </c>
      <c r="F366" s="53" t="inlineStr">
        <is>
          <t>not applicable</t>
        </is>
      </c>
      <c r="G366" s="55" t="n"/>
      <c r="H366" s="47" t="n"/>
      <c r="I366" s="47" t="n"/>
      <c r="J366" s="49" t="n"/>
      <c r="K366" s="49" t="n"/>
      <c r="L366" s="49" t="n"/>
      <c r="M366" s="49" t="n"/>
    </row>
    <row r="367" outlineLevel="1" ht="28.5" customFormat="1" customHeight="1" s="36">
      <c r="A367" s="37">
        <f>A362&amp;"_"&amp;B367</f>
        <v/>
      </c>
      <c r="B367" s="50" t="n">
        <v>4</v>
      </c>
      <c r="C367" s="185" t="n"/>
      <c r="D367" s="185" t="n"/>
      <c r="E367" s="45" t="inlineStr">
        <is>
          <t>– basic software
基本软件</t>
        </is>
      </c>
      <c r="F367" s="53" t="inlineStr">
        <is>
          <t>not applicable</t>
        </is>
      </c>
      <c r="G367" s="46" t="n"/>
      <c r="H367" s="47" t="n"/>
      <c r="I367" s="47" t="n"/>
      <c r="J367" s="48" t="n"/>
      <c r="K367" s="49" t="n"/>
      <c r="L367" s="49" t="n"/>
      <c r="M367" s="49" t="n"/>
    </row>
    <row r="368" outlineLevel="1" ht="43.5" customFormat="1" customHeight="1" s="36">
      <c r="A368" s="37">
        <f>A362&amp;"_"&amp;B368</f>
        <v/>
      </c>
      <c r="B368" s="42" t="n">
        <v>5</v>
      </c>
      <c r="C368" s="185" t="n"/>
      <c r="D368" s="185" t="n"/>
      <c r="E368" s="45" t="inlineStr">
        <is>
          <t xml:space="preserve">– operating system including scheduler
——包含调度器的操作系统
</t>
        </is>
      </c>
      <c r="F368" s="53" t="inlineStr">
        <is>
          <t>not applicable</t>
        </is>
      </c>
      <c r="G368" s="55" t="n"/>
      <c r="H368" s="47" t="n"/>
      <c r="I368" s="47" t="n"/>
      <c r="J368" s="49" t="n"/>
      <c r="K368" s="49" t="n"/>
      <c r="L368" s="49" t="n"/>
      <c r="M368" s="49" t="n"/>
    </row>
    <row r="369" outlineLevel="1" ht="28.5" customFormat="1" customHeight="1" s="36">
      <c r="A369" s="37">
        <f>A362&amp;"_"&amp;B369</f>
        <v/>
      </c>
      <c r="B369" s="50" t="n">
        <v>6</v>
      </c>
      <c r="C369" s="185" t="n"/>
      <c r="D369" s="185" t="n"/>
      <c r="E369" s="45" t="inlineStr">
        <is>
          <t>– communication stack
通信协议栈</t>
        </is>
      </c>
      <c r="F369" s="53" t="inlineStr">
        <is>
          <t>not applicable</t>
        </is>
      </c>
      <c r="G369" s="46" t="n"/>
      <c r="H369" s="47" t="n"/>
      <c r="I369" s="47" t="n"/>
      <c r="J369" s="48" t="n"/>
      <c r="K369" s="49" t="n"/>
      <c r="L369" s="49" t="n"/>
      <c r="M369" s="49" t="n"/>
    </row>
    <row r="370" outlineLevel="1" ht="29" customFormat="1" customHeight="1" s="36">
      <c r="A370" s="37">
        <f>A362&amp;"_"&amp;B370</f>
        <v/>
      </c>
      <c r="B370" s="42" t="n">
        <v>7</v>
      </c>
      <c r="C370" s="185" t="n"/>
      <c r="D370" s="185" t="n"/>
      <c r="E370" s="45" t="inlineStr">
        <is>
          <t xml:space="preserve">– parameter file参数文件
</t>
        </is>
      </c>
      <c r="F370" s="53" t="inlineStr">
        <is>
          <t>not applicable</t>
        </is>
      </c>
      <c r="G370" s="55" t="n"/>
      <c r="H370" s="47" t="n"/>
      <c r="I370" s="47" t="n"/>
      <c r="J370" s="49" t="n"/>
      <c r="K370" s="49" t="n"/>
      <c r="L370" s="49" t="n"/>
      <c r="M370" s="49" t="n"/>
    </row>
    <row r="371" outlineLevel="1" ht="28.5" customFormat="1" customHeight="1" s="36">
      <c r="A371" s="37">
        <f>A362&amp;"_"&amp;B371</f>
        <v/>
      </c>
      <c r="B371" s="50" t="n">
        <v>8</v>
      </c>
      <c r="C371" s="185" t="n"/>
      <c r="D371" s="185" t="n"/>
      <c r="E371" s="45" t="inlineStr">
        <is>
          <t>– execution time
执行时间</t>
        </is>
      </c>
      <c r="F371" s="53" t="inlineStr">
        <is>
          <t>not applicable</t>
        </is>
      </c>
      <c r="G371" s="55" t="n"/>
      <c r="H371" s="47" t="n"/>
      <c r="I371" s="47" t="n"/>
      <c r="J371" s="49" t="n"/>
      <c r="K371" s="49" t="n"/>
      <c r="L371" s="49" t="n"/>
      <c r="M371" s="49" t="n"/>
    </row>
    <row r="372" outlineLevel="1" ht="14.5" customFormat="1" customHeight="1" s="36">
      <c r="A372" s="37">
        <f>A362&amp;"_"&amp;B372</f>
        <v/>
      </c>
      <c r="B372" s="42" t="n">
        <v>9</v>
      </c>
      <c r="C372" s="186" t="n"/>
      <c r="D372" s="186" t="n"/>
      <c r="E372" s="45" t="inlineStr">
        <is>
          <t>– allocated memory</t>
        </is>
      </c>
      <c r="F372" s="53" t="inlineStr">
        <is>
          <t>not applicable</t>
        </is>
      </c>
      <c r="G372" s="55" t="n"/>
      <c r="H372" s="47" t="n"/>
      <c r="I372" s="47" t="n"/>
      <c r="J372" s="49" t="n"/>
      <c r="K372" s="49" t="n"/>
      <c r="L372" s="49" t="n"/>
      <c r="M372" s="49" t="n"/>
    </row>
    <row r="373" outlineLevel="1" ht="28.5" customFormat="1" customHeight="1" s="36">
      <c r="A373" s="37">
        <f>A362&amp;"_"&amp;B373</f>
        <v/>
      </c>
      <c r="B373" s="50" t="n">
        <v>10</v>
      </c>
      <c r="C373" s="187" t="inlineStr">
        <is>
          <t>Components of
identical type</t>
        </is>
      </c>
      <c r="D373" s="187" t="inlineStr">
        <is>
          <t>Identical components may fail with higher probability simultaneously (common mode failures)</t>
        </is>
      </c>
      <c r="E373" s="45" t="inlineStr">
        <is>
          <t>• Reused standard software modules
重复使用的标准软件模块</t>
        </is>
      </c>
      <c r="F373" s="53" t="inlineStr">
        <is>
          <t>not applicable</t>
        </is>
      </c>
      <c r="G373" s="46" t="n"/>
      <c r="H373" s="47" t="n"/>
      <c r="I373" s="47" t="n"/>
      <c r="J373" s="48" t="n"/>
      <c r="K373" s="49" t="n"/>
      <c r="L373" s="49" t="n"/>
      <c r="M373" s="49" t="n"/>
    </row>
    <row r="374" outlineLevel="1" ht="28.5" customFormat="1" customHeight="1" s="36">
      <c r="A374" s="37">
        <f>A362&amp;"_"&amp;B374</f>
        <v/>
      </c>
      <c r="B374" s="42" t="n">
        <v>11</v>
      </c>
      <c r="C374" s="185" t="n"/>
      <c r="D374" s="185" t="n"/>
      <c r="E374" s="45" t="inlineStr">
        <is>
          <t>• Standard library components
标准库组件</t>
        </is>
      </c>
      <c r="F374" s="53" t="inlineStr">
        <is>
          <t>not applicable</t>
        </is>
      </c>
      <c r="G374" s="46" t="n"/>
      <c r="H374" s="47" t="n"/>
      <c r="I374" s="47" t="n"/>
      <c r="J374" s="48" t="n"/>
      <c r="K374" s="49" t="n"/>
      <c r="L374" s="49" t="n"/>
      <c r="M374" s="49" t="n"/>
    </row>
    <row r="375" outlineLevel="1" ht="28.5" customFormat="1" customHeight="1" s="36">
      <c r="A375" s="37">
        <f>A362&amp;"_"&amp;B375</f>
        <v/>
      </c>
      <c r="B375" s="50" t="n">
        <v>12</v>
      </c>
      <c r="C375" s="185" t="n"/>
      <c r="D375" s="185" t="n"/>
      <c r="E375" s="45" t="inlineStr">
        <is>
          <t>• Middleware
中间件</t>
        </is>
      </c>
      <c r="F375" s="53" t="inlineStr">
        <is>
          <t>not applicable</t>
        </is>
      </c>
      <c r="G375" s="55" t="n"/>
      <c r="H375" s="47" t="n"/>
      <c r="I375" s="47" t="n"/>
      <c r="J375" s="49" t="n"/>
      <c r="K375" s="49" t="n"/>
      <c r="L375" s="49" t="n"/>
      <c r="M375" s="49" t="n"/>
    </row>
    <row r="376" outlineLevel="1" ht="28.5" customFormat="1" customHeight="1" s="36">
      <c r="A376" s="37">
        <f>A362&amp;"_"&amp;B376</f>
        <v/>
      </c>
      <c r="B376" s="42" t="n">
        <v>13</v>
      </c>
      <c r="C376" s="185" t="n"/>
      <c r="D376" s="185" t="n"/>
      <c r="E376" s="45" t="inlineStr">
        <is>
          <t>• Operating system
操作系统</t>
        </is>
      </c>
      <c r="F376" s="53" t="inlineStr">
        <is>
          <t>not applicable</t>
        </is>
      </c>
      <c r="G376" s="55" t="n"/>
      <c r="H376" s="47" t="n"/>
      <c r="I376" s="47" t="n"/>
      <c r="J376" s="49" t="n"/>
      <c r="K376" s="49" t="n"/>
      <c r="L376" s="49" t="n"/>
      <c r="M376" s="49" t="n"/>
    </row>
    <row r="377" outlineLevel="1" ht="28.5" customFormat="1" customHeight="1" s="36">
      <c r="A377" s="37">
        <f>A362&amp;"_"&amp;B377</f>
        <v/>
      </c>
      <c r="B377" s="50" t="n">
        <v>14</v>
      </c>
      <c r="C377" s="185" t="n"/>
      <c r="D377" s="185" t="n"/>
      <c r="E377" s="45" t="inlineStr">
        <is>
          <t>• Communication stack
通信栈</t>
        </is>
      </c>
      <c r="F377" s="53" t="inlineStr">
        <is>
          <t>not applicable</t>
        </is>
      </c>
      <c r="G377" s="55" t="n"/>
      <c r="H377" s="47" t="n"/>
      <c r="I377" s="47" t="n"/>
      <c r="J377" s="49" t="n"/>
      <c r="K377" s="49" t="n"/>
      <c r="L377" s="49" t="n"/>
      <c r="M377" s="49" t="n"/>
    </row>
    <row r="378" outlineLevel="1" ht="58" customFormat="1" customHeight="1" s="36">
      <c r="A378" s="37">
        <f>A362&amp;"_"&amp;B378</f>
        <v/>
      </c>
      <c r="B378" s="42" t="n">
        <v>15</v>
      </c>
      <c r="C378" s="186" t="n"/>
      <c r="D378" s="186" t="n"/>
      <c r="E378" s="45" t="inlineStr">
        <is>
          <t xml:space="preserve">
• Parameter set
参数设置
</t>
        </is>
      </c>
      <c r="F378" s="53" t="inlineStr">
        <is>
          <t>not applicable</t>
        </is>
      </c>
      <c r="G378" s="55" t="n"/>
      <c r="H378" s="47" t="n"/>
      <c r="I378" s="47" t="n"/>
      <c r="J378" s="49" t="n"/>
      <c r="K378" s="49" t="n"/>
      <c r="L378" s="49" t="n"/>
      <c r="M378" s="49" t="n"/>
    </row>
    <row r="379" outlineLevel="1" ht="100.5" customFormat="1" customHeight="1" s="36">
      <c r="A379" s="37">
        <f>A362&amp;"_"&amp;B379</f>
        <v/>
      </c>
      <c r="B379" s="50" t="n">
        <v>16</v>
      </c>
      <c r="C379" s="187" t="inlineStr">
        <is>
          <t>Communication
between the two
functions</t>
        </is>
      </c>
      <c r="D379" s="184" t="inlineStr">
        <is>
          <t>Receiving function is affected by information that is false, lost, sent multiple times, or in the wrong order etc. from the sender</t>
        </is>
      </c>
      <c r="E379"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379" s="53" t="inlineStr">
        <is>
          <t>not applicable</t>
        </is>
      </c>
      <c r="G379" s="46" t="n"/>
      <c r="H379" s="47" t="n"/>
      <c r="I379" s="47" t="n"/>
      <c r="J379" s="48" t="n"/>
      <c r="K379" s="49" t="n"/>
      <c r="L379" s="49" t="n"/>
      <c r="M379" s="49" t="n"/>
    </row>
    <row r="380" outlineLevel="1" ht="72.5" customFormat="1" customHeight="1" s="36">
      <c r="A380" s="37">
        <f>A362&amp;"_"&amp;B380</f>
        <v/>
      </c>
      <c r="B380" s="42" t="n">
        <v>17</v>
      </c>
      <c r="C380" s="185" t="n"/>
      <c r="D380" s="185" t="n"/>
      <c r="E380" s="45" t="inlineStr">
        <is>
          <t>• Data or message corruption/ repetition*/ loss*/ delay*/ masquerading or incorrect addressing of information*
数据或信息的损坏/重复/丢失/延迟/伪装或信息的错误标识*</t>
        </is>
      </c>
      <c r="F380" s="53" t="inlineStr">
        <is>
          <t>not applicable</t>
        </is>
      </c>
      <c r="G380" s="55" t="n"/>
      <c r="H380" s="47" t="n"/>
      <c r="I380" s="47" t="n"/>
      <c r="J380" s="49" t="n"/>
      <c r="K380" s="49" t="n"/>
      <c r="L380" s="49" t="n"/>
      <c r="M380" s="49" t="n"/>
    </row>
    <row r="381" outlineLevel="1" ht="49" customFormat="1" customHeight="1" s="36">
      <c r="A381" s="37">
        <f>A362&amp;"_"&amp;B381</f>
        <v/>
      </c>
      <c r="B381" s="50" t="n">
        <v>18</v>
      </c>
      <c r="C381" s="185" t="n"/>
      <c r="D381" s="185" t="n"/>
      <c r="E381" s="45" t="inlineStr">
        <is>
          <t>• Insertion*/ sequence of information*
插入* / 信息序列*</t>
        </is>
      </c>
      <c r="F381" s="53" t="inlineStr">
        <is>
          <t>not applicable</t>
        </is>
      </c>
      <c r="G381" s="55" t="n"/>
      <c r="H381" s="47" t="n"/>
      <c r="I381" s="47" t="n"/>
      <c r="J381" s="49" t="n"/>
      <c r="K381" s="49" t="n"/>
      <c r="L381" s="49" t="n"/>
      <c r="M381" s="49" t="n"/>
    </row>
    <row r="382" outlineLevel="1" ht="48" customFormat="1" customHeight="1" s="36">
      <c r="A382" s="37">
        <f>A362&amp;"_"&amp;B382</f>
        <v/>
      </c>
      <c r="B382" s="42" t="n">
        <v>19</v>
      </c>
      <c r="C382" s="185" t="n"/>
      <c r="D382" s="185" t="n"/>
      <c r="E382" s="45" t="inlineStr">
        <is>
          <t>• Corruption of information*
信息的失真*</t>
        </is>
      </c>
      <c r="F382" s="53" t="inlineStr">
        <is>
          <t>not applicable</t>
        </is>
      </c>
      <c r="G382" s="55" t="n"/>
      <c r="H382" s="47" t="n"/>
      <c r="I382" s="47" t="n"/>
      <c r="J382" s="49" t="n"/>
      <c r="K382" s="49" t="n"/>
      <c r="L382" s="49" t="n"/>
      <c r="M382" s="49" t="n"/>
    </row>
    <row r="383" outlineLevel="1" ht="48" customFormat="1" customHeight="1" s="36">
      <c r="A383" s="37">
        <f>A362&amp;"_"&amp;B383</f>
        <v/>
      </c>
      <c r="B383" s="50" t="n">
        <v>20</v>
      </c>
      <c r="C383" s="185" t="n"/>
      <c r="D383" s="185" t="n"/>
      <c r="E383" s="45" t="inlineStr">
        <is>
          <t>• Asymmetric information sent from a sender to multiple receivers*
从发送者传向多个接收者的不对称信息*</t>
        </is>
      </c>
      <c r="F383" s="53" t="inlineStr">
        <is>
          <t>not applicable</t>
        </is>
      </c>
      <c r="G383" s="55" t="n"/>
      <c r="H383" s="47" t="n"/>
      <c r="I383" s="47" t="n"/>
      <c r="J383" s="49" t="n"/>
      <c r="K383" s="49" t="n"/>
      <c r="L383" s="49" t="n"/>
      <c r="M383" s="49" t="n"/>
    </row>
    <row r="384" outlineLevel="1" ht="48" customFormat="1" customHeight="1" s="36">
      <c r="A384" s="37">
        <f>A362&amp;"_"&amp;B384</f>
        <v/>
      </c>
      <c r="B384" s="42" t="n">
        <v>21</v>
      </c>
      <c r="C384" s="185" t="n"/>
      <c r="D384" s="185" t="n"/>
      <c r="E384" s="45" t="inlineStr">
        <is>
          <t>• Information from a sender received by only a subset of the receivers*
仅部分接收者接收到的来自发送者的信息*</t>
        </is>
      </c>
      <c r="F384" s="53" t="inlineStr">
        <is>
          <t>not applicable</t>
        </is>
      </c>
      <c r="G384" s="55" t="n"/>
      <c r="H384" s="47" t="n"/>
      <c r="I384" s="47" t="n"/>
      <c r="J384" s="49" t="n"/>
      <c r="K384" s="49" t="n"/>
      <c r="L384" s="49" t="n"/>
      <c r="M384" s="49" t="n"/>
    </row>
    <row r="385" outlineLevel="1" ht="43.5" customFormat="1" customHeight="1" s="36">
      <c r="A385" s="37">
        <f>A362&amp;"_"&amp;B385</f>
        <v/>
      </c>
      <c r="B385" s="50" t="n">
        <v>22</v>
      </c>
      <c r="C385" s="186" t="n"/>
      <c r="D385" s="186" t="n"/>
      <c r="E385" s="45" t="inlineStr">
        <is>
          <t>• Blocking access to a communication channel*
阻止对通信通道的访问*</t>
        </is>
      </c>
      <c r="F385" s="53" t="inlineStr">
        <is>
          <t>not applicable</t>
        </is>
      </c>
      <c r="G385" s="46" t="n"/>
      <c r="H385" s="47" t="n"/>
      <c r="I385" s="47" t="n"/>
      <c r="J385" s="48" t="n"/>
      <c r="K385" s="49" t="n"/>
      <c r="L385" s="49" t="n"/>
      <c r="M385" s="49" t="n"/>
    </row>
    <row r="386" outlineLevel="1" ht="45" customFormat="1" customHeight="1" s="36">
      <c r="A386" s="37">
        <f>A362&amp;"_"&amp;B386</f>
        <v/>
      </c>
      <c r="B386" s="42" t="n">
        <v>23</v>
      </c>
      <c r="C386" s="187" t="inlineStr">
        <is>
          <t>Shared information
inputs</t>
        </is>
      </c>
      <c r="D386" s="187" t="inlineStr">
        <is>
          <t>Same information consumed by the two functions even in absence of shared resources, i.e. from a functional perspective</t>
        </is>
      </c>
      <c r="E386" s="45" t="inlineStr">
        <is>
          <t>• Calibration parameters
标准参数</t>
        </is>
      </c>
      <c r="F386" s="53" t="inlineStr">
        <is>
          <t>not applicable</t>
        </is>
      </c>
      <c r="G386" s="55" t="n"/>
      <c r="H386" s="47" t="n"/>
      <c r="I386" s="47" t="n"/>
      <c r="J386" s="49" t="n"/>
      <c r="K386" s="49" t="n"/>
      <c r="L386" s="49" t="n"/>
      <c r="M386" s="49" t="n"/>
    </row>
    <row r="387" outlineLevel="1" ht="57" customFormat="1" customHeight="1" s="36">
      <c r="A387" s="37">
        <f>A362&amp;"_"&amp;B387</f>
        <v/>
      </c>
      <c r="B387" s="50" t="n">
        <v>24</v>
      </c>
      <c r="C387" s="185" t="n"/>
      <c r="D387" s="185" t="n"/>
      <c r="E387" s="45" t="inlineStr">
        <is>
          <t>• Constants, or variables, being global to the two software functions
常量或变量对于这两个软件功能而言是全局性的。</t>
        </is>
      </c>
      <c r="F387" s="53" t="inlineStr">
        <is>
          <t>not applicable</t>
        </is>
      </c>
      <c r="G387" s="46" t="n"/>
      <c r="H387" s="47" t="n"/>
      <c r="I387" s="47" t="n"/>
      <c r="J387" s="48" t="n"/>
      <c r="K387" s="49" t="n"/>
      <c r="L387" s="49" t="n"/>
      <c r="M387" s="49" t="n"/>
    </row>
    <row r="388" outlineLevel="1" ht="100" customFormat="1" customHeight="1" s="36">
      <c r="A388" s="37">
        <f>A362&amp;"_"&amp;B388</f>
        <v/>
      </c>
      <c r="B388" s="42" t="n">
        <v>25</v>
      </c>
      <c r="C388" s="185" t="n"/>
      <c r="D388" s="185" t="n"/>
      <c r="E388" s="45" t="inlineStr">
        <is>
          <t>• Basic software passes data (read from hardware register and converted into logical information) to two application software functions
基础软件会将数据（从硬件寄存器读取并转换为逻辑信息）传递给两个应用程序软件功能。</t>
        </is>
      </c>
      <c r="F388" s="53" t="inlineStr">
        <is>
          <t>not applicable</t>
        </is>
      </c>
      <c r="G388" s="55" t="n"/>
      <c r="H388" s="47" t="n"/>
      <c r="I388" s="47" t="n"/>
      <c r="J388" s="49" t="n"/>
      <c r="K388" s="49" t="n"/>
      <c r="L388" s="49" t="n"/>
      <c r="M388" s="49" t="n"/>
    </row>
    <row r="389" outlineLevel="1" ht="115.5" customFormat="1" customHeight="1" s="36">
      <c r="A389" s="37">
        <f>A362&amp;"_"&amp;B389</f>
        <v/>
      </c>
      <c r="B389" s="50" t="n">
        <v>26</v>
      </c>
      <c r="C389" s="186" t="n"/>
      <c r="D389" s="186" t="n"/>
      <c r="E389"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389" s="53" t="inlineStr">
        <is>
          <t>not applicable</t>
        </is>
      </c>
      <c r="G389" s="55" t="n"/>
      <c r="H389" s="47" t="n"/>
      <c r="I389" s="47" t="n"/>
      <c r="J389" s="49" t="n"/>
      <c r="K389" s="49" t="n"/>
      <c r="L389" s="49" t="n"/>
      <c r="M389" s="49" t="n"/>
    </row>
    <row r="390" outlineLevel="1" ht="68.5" customFormat="1" customHeight="1" s="36">
      <c r="A390" s="37">
        <f>A362&amp;"_"&amp;B390</f>
        <v/>
      </c>
      <c r="B390" s="42" t="n">
        <v>27</v>
      </c>
      <c r="C390" s="187" t="inlineStr">
        <is>
          <t>Environmental
influences</t>
        </is>
      </c>
      <c r="D390" s="184" t="inlineStr">
        <is>
          <t>Common external environmental disturbance affects both functions</t>
        </is>
      </c>
      <c r="E390" s="45" t="inlineStr">
        <is>
          <t xml:space="preserve">System-level: mechanical shock, water ingress
 系统层面：机械震动、进水                                                                                                                                                                </t>
        </is>
      </c>
      <c r="F390" s="53" t="inlineStr">
        <is>
          <t>not applicable</t>
        </is>
      </c>
      <c r="G390" s="55" t="n"/>
      <c r="H390" s="47" t="n"/>
      <c r="I390" s="47" t="n"/>
      <c r="J390" s="49" t="n"/>
      <c r="K390" s="49" t="n"/>
      <c r="L390" s="49" t="n"/>
      <c r="M390" s="49" t="n"/>
    </row>
    <row r="391" outlineLevel="1" ht="28.5" customFormat="1" customHeight="1" s="36">
      <c r="A391" s="37">
        <f>A362&amp;"_"&amp;B391</f>
        <v/>
      </c>
      <c r="B391" s="50" t="n">
        <v>28</v>
      </c>
      <c r="C391" s="185" t="n"/>
      <c r="D391" s="185" t="n"/>
      <c r="E391" s="45" t="inlineStr">
        <is>
          <t>Software-level: not applicable for Software
软件层面：不适用于软件</t>
        </is>
      </c>
      <c r="F391" s="53" t="inlineStr">
        <is>
          <t>not applicable</t>
        </is>
      </c>
      <c r="G391" s="55" t="n"/>
      <c r="H391" s="47" t="n"/>
      <c r="I391" s="47" t="n"/>
      <c r="J391" s="49" t="n"/>
      <c r="K391" s="49" t="n"/>
      <c r="L391" s="49" t="n"/>
      <c r="M391" s="49" t="n"/>
    </row>
    <row r="392" outlineLevel="1" ht="43" customFormat="1" customHeight="1" s="36">
      <c r="A392" s="37">
        <f>A362&amp;"_"&amp;B392</f>
        <v/>
      </c>
      <c r="B392" s="42" t="n">
        <v>29</v>
      </c>
      <c r="C392" s="186" t="n"/>
      <c r="D392" s="186" t="n"/>
      <c r="E392" s="45" t="inlineStr">
        <is>
          <t>Hardware-level: under and over voltage of the power supply        
硬件层面：电源的欠压和过压情况</t>
        </is>
      </c>
      <c r="F392" s="53" t="inlineStr">
        <is>
          <t>not applicable</t>
        </is>
      </c>
      <c r="G392" s="55" t="n"/>
      <c r="H392" s="47" t="n"/>
      <c r="I392" s="47" t="n"/>
      <c r="J392" s="49" t="n"/>
      <c r="K392" s="49" t="n"/>
      <c r="L392" s="49" t="n"/>
      <c r="M392" s="49" t="n"/>
    </row>
    <row r="393" outlineLevel="1" ht="78" customFormat="1" customHeight="1" s="36">
      <c r="A393" s="37">
        <f>A362&amp;"_"&amp;B393</f>
        <v/>
      </c>
      <c r="B393" s="50" t="n">
        <v>30</v>
      </c>
      <c r="C393" s="187" t="inlineStr">
        <is>
          <t>Unintended impact</t>
        </is>
      </c>
      <c r="D393" s="187" t="inlineStr">
        <is>
          <t>Two functions affecting each other’s elements directly via an implicit, that is unintended interface.</t>
        </is>
      </c>
      <c r="E393" s="45" t="inlineStr">
        <is>
          <t>• Memory / corruption of content*
– “wild pointers“ (including program counter stack)
内存/内容损坏*
——“失控指针”（包括程序计数器栈</t>
        </is>
      </c>
      <c r="F393" s="45" t="inlineStr">
        <is>
          <t xml:space="preserve">Yes </t>
        </is>
      </c>
      <c r="G393" s="46" t="inlineStr">
        <is>
          <t>倒车灯控制模块失效会导致倒车灯输出和反馈异常，违背安全目标SG03</t>
        </is>
      </c>
      <c r="H393" s="47" t="inlineStr">
        <is>
          <t xml:space="preserve">
1：支持外部看门狗，对异常中断造成的任务停滞进行复位处理
</t>
        </is>
      </c>
      <c r="I393" s="47" t="inlineStr">
        <is>
          <t>SW_DFA_SM_004</t>
        </is>
      </c>
      <c r="J393" s="48" t="inlineStr">
        <is>
          <t>通过集成测试</t>
        </is>
      </c>
      <c r="K393" s="49" t="inlineStr">
        <is>
          <t>满足ASILA开发和测试</t>
        </is>
      </c>
      <c r="L393" s="49" t="n"/>
      <c r="M393" s="49" t="n"/>
    </row>
    <row r="394" outlineLevel="1" ht="78" customFormat="1" customHeight="1" s="36">
      <c r="A394" s="37">
        <f>A362&amp;"_"&amp;B394</f>
        <v/>
      </c>
      <c r="B394" s="42" t="n">
        <v>31</v>
      </c>
      <c r="C394" s="185" t="n"/>
      <c r="D394" s="185" t="n"/>
      <c r="E394" s="45" t="inlineStr">
        <is>
          <t>– memory mis-allocation
——内存分配错误</t>
        </is>
      </c>
      <c r="F394" s="45" t="inlineStr">
        <is>
          <t xml:space="preserve">Yes </t>
        </is>
      </c>
      <c r="G394" s="46" t="inlineStr">
        <is>
          <t>倒车灯控制模块失效会导致倒车灯输出和反馈异常，违背安全目标SG03</t>
        </is>
      </c>
      <c r="H394" s="47" t="inlineStr">
        <is>
          <t xml:space="preserve">
1：支持外部看门狗，对异常中断造成的任务停滞进行复位处理
</t>
        </is>
      </c>
      <c r="I394" s="47" t="inlineStr">
        <is>
          <t>SW_DFA_SM_004</t>
        </is>
      </c>
      <c r="J394" s="48" t="inlineStr">
        <is>
          <t>通过集成测试</t>
        </is>
      </c>
      <c r="K394" s="49" t="inlineStr">
        <is>
          <t>满足ASILA开发和测试</t>
        </is>
      </c>
      <c r="L394" s="49" t="n"/>
      <c r="M394" s="49" t="n"/>
    </row>
    <row r="395" outlineLevel="1" ht="78" customFormat="1" customHeight="1" s="36">
      <c r="A395" s="37">
        <f>A362&amp;"_"&amp;B395</f>
        <v/>
      </c>
      <c r="B395" s="50" t="n">
        <v>32</v>
      </c>
      <c r="C395" s="185" t="n"/>
      <c r="D395" s="185" t="n"/>
      <c r="E395" s="45" t="inlineStr">
        <is>
          <t>– memory leaks
内存泄漏</t>
        </is>
      </c>
      <c r="F395" s="45" t="inlineStr">
        <is>
          <t xml:space="preserve">Yes </t>
        </is>
      </c>
      <c r="G395" s="46" t="inlineStr">
        <is>
          <t>倒车灯控制模块失效会导致倒车灯输出和反馈异常，违背安全目标SG03</t>
        </is>
      </c>
      <c r="H395" s="47" t="inlineStr">
        <is>
          <t xml:space="preserve">
1：支持外部看门狗，对异常中断造成的任务停滞进行复位处理
</t>
        </is>
      </c>
      <c r="I395" s="47" t="inlineStr">
        <is>
          <t>SW_DFA_SM_004</t>
        </is>
      </c>
      <c r="J395" s="48" t="inlineStr">
        <is>
          <t>通过集成测试</t>
        </is>
      </c>
      <c r="K395" s="49" t="inlineStr">
        <is>
          <t>满足ASILA开发和测试</t>
        </is>
      </c>
      <c r="L395" s="49" t="n"/>
      <c r="M395" s="49" t="n"/>
    </row>
    <row r="396" outlineLevel="1" ht="58" customFormat="1" customHeight="1" s="36">
      <c r="A396" s="37">
        <f>A362&amp;"_"&amp;B396</f>
        <v/>
      </c>
      <c r="B396" s="42" t="n">
        <v>33</v>
      </c>
      <c r="C396" s="185" t="n"/>
      <c r="D396" s="185" t="n"/>
      <c r="E396" s="45" t="inlineStr">
        <is>
          <t>– read/write access to memory allocated to another software element*
—— 对分配给其他软件组件的内存的读/写访问权限*</t>
        </is>
      </c>
      <c r="F396" s="53" t="inlineStr">
        <is>
          <t>not applicable</t>
        </is>
      </c>
      <c r="G396" s="55" t="n"/>
      <c r="H396" s="47" t="n"/>
      <c r="I396" s="47" t="n"/>
      <c r="J396" s="49" t="n"/>
      <c r="K396" s="49" t="n"/>
      <c r="L396" s="49" t="n"/>
      <c r="M396" s="49" t="n"/>
    </row>
    <row r="397" outlineLevel="1" ht="29" customFormat="1" customHeight="1" s="36">
      <c r="A397" s="37">
        <f>A362&amp;"_"&amp;B397</f>
        <v/>
      </c>
      <c r="B397" s="50" t="n">
        <v>34</v>
      </c>
      <c r="C397" s="185" t="n"/>
      <c r="D397" s="185" t="n"/>
      <c r="E397" s="45" t="inlineStr">
        <is>
          <t>– buffer under-/overflow
– 缓冲区下溢/上溢</t>
        </is>
      </c>
      <c r="F397" s="53" t="inlineStr">
        <is>
          <t>not applicable</t>
        </is>
      </c>
      <c r="G397" s="55" t="n"/>
      <c r="H397" s="47" t="n"/>
      <c r="I397" s="47" t="n"/>
      <c r="J397" s="49" t="n"/>
      <c r="K397" s="49" t="n"/>
      <c r="L397" s="49" t="n"/>
      <c r="M397" s="49" t="n"/>
    </row>
    <row r="398" outlineLevel="1" ht="57.5" customFormat="1" customHeight="1" s="36">
      <c r="A398" s="37">
        <f>A362&amp;"_"&amp;B398</f>
        <v/>
      </c>
      <c r="B398" s="42" t="n">
        <v>35</v>
      </c>
      <c r="C398" s="185" t="n"/>
      <c r="D398" s="185" t="n"/>
      <c r="E398" s="45" t="inlineStr">
        <is>
          <t>• Timing and execution
– deadlocks*
时机与执行
——死锁*</t>
        </is>
      </c>
      <c r="F398" s="53" t="inlineStr">
        <is>
          <t>not applicable</t>
        </is>
      </c>
      <c r="G398" s="55" t="n"/>
      <c r="H398" s="47" t="n"/>
      <c r="I398" s="47" t="n"/>
      <c r="J398" s="49" t="n"/>
      <c r="K398" s="49" t="n"/>
      <c r="L398" s="49" t="n"/>
      <c r="M398" s="49" t="n"/>
    </row>
    <row r="399" outlineLevel="1" ht="28.5" customFormat="1" customHeight="1" s="36">
      <c r="A399" s="37">
        <f>A362&amp;"_"&amp;B399</f>
        <v/>
      </c>
      <c r="B399" s="50" t="n">
        <v>36</v>
      </c>
      <c r="C399" s="185" t="n"/>
      <c r="D399" s="185" t="n"/>
      <c r="E399" s="45" t="inlineStr">
        <is>
          <t>– livelocks*
活锁</t>
        </is>
      </c>
      <c r="F399" s="53" t="inlineStr">
        <is>
          <t>not applicable</t>
        </is>
      </c>
      <c r="G399" s="55" t="n"/>
      <c r="H399" s="47" t="n"/>
      <c r="I399" s="47" t="n"/>
      <c r="J399" s="49" t="n"/>
      <c r="K399" s="49" t="n"/>
      <c r="L399" s="49" t="n"/>
      <c r="M399" s="49" t="n"/>
    </row>
    <row r="400" outlineLevel="1" ht="29" customFormat="1" customHeight="1" s="36">
      <c r="A400" s="37">
        <f>A362&amp;"_"&amp;B400</f>
        <v/>
      </c>
      <c r="B400" s="42" t="n">
        <v>37</v>
      </c>
      <c r="C400" s="185" t="n"/>
      <c r="D400" s="185" t="n"/>
      <c r="E400" s="45" t="inlineStr">
        <is>
          <t>– incorrect allocation of execution time*
——执行时间分配不当*</t>
        </is>
      </c>
      <c r="F400" s="53" t="inlineStr">
        <is>
          <t>not applicable</t>
        </is>
      </c>
      <c r="G400" s="55" t="n"/>
      <c r="H400" s="47" t="n"/>
      <c r="I400" s="47" t="n"/>
      <c r="J400" s="49" t="n"/>
      <c r="K400" s="49" t="n"/>
      <c r="L400" s="49" t="n"/>
      <c r="M400" s="49" t="n"/>
    </row>
    <row r="401" outlineLevel="1" ht="43.5" customFormat="1" customHeight="1" s="36">
      <c r="A401" s="37">
        <f>A362&amp;"_"&amp;B401</f>
        <v/>
      </c>
      <c r="B401" s="50" t="n">
        <v>38</v>
      </c>
      <c r="C401" s="186" t="n"/>
      <c r="D401" s="186" t="n"/>
      <c r="E401" s="45" t="inlineStr">
        <is>
          <t>– incorrect synchronization between software elements*
——软件各组成部分之间的同步不正确*</t>
        </is>
      </c>
      <c r="F401" s="53" t="inlineStr">
        <is>
          <t>not applicable</t>
        </is>
      </c>
      <c r="G401" s="46" t="n"/>
      <c r="H401" s="47" t="n"/>
      <c r="I401" s="47" t="n"/>
      <c r="J401" s="48" t="n"/>
      <c r="K401" s="49" t="n"/>
      <c r="L401" s="49" t="n"/>
      <c r="M401" s="49" t="n"/>
    </row>
    <row r="402" outlineLevel="1" ht="72" customFormat="1" customHeight="1" s="36">
      <c r="A402" s="37">
        <f>A362&amp;"_"&amp;B402</f>
        <v/>
      </c>
      <c r="B402" s="42" t="n">
        <v>39</v>
      </c>
      <c r="C402" s="187" t="inlineStr">
        <is>
          <t>Systematic coupling</t>
        </is>
      </c>
      <c r="D402" s="187" t="inlineStr">
        <is>
          <t>Systematic causes from human or tool errors can lead to the simultaneous failure of more than one function</t>
        </is>
      </c>
      <c r="E402" s="45" t="inlineStr">
        <is>
          <t>• Manufacturing fault / repair fault (e.g. false flashing, false calibration reference for sensors)
制造故障/维修故障（例如：错误的闪烁现象、传感器的错误校准参考值）</t>
        </is>
      </c>
      <c r="F402" s="53" t="inlineStr">
        <is>
          <t>not applicable</t>
        </is>
      </c>
      <c r="G402" s="55" t="n"/>
      <c r="H402" s="47" t="n"/>
      <c r="I402" s="47" t="n"/>
      <c r="J402" s="49" t="n"/>
      <c r="K402" s="49" t="n"/>
      <c r="L402" s="49" t="n"/>
      <c r="M402" s="49" t="n"/>
    </row>
    <row r="403" outlineLevel="1" ht="115.5" customFormat="1" customHeight="1" s="36">
      <c r="A403" s="37">
        <f>A362&amp;"_"&amp;B403</f>
        <v/>
      </c>
      <c r="B403" s="50" t="n">
        <v>40</v>
      </c>
      <c r="C403" s="185" t="n"/>
      <c r="D403" s="185" t="n"/>
      <c r="E403" s="61" t="inlineStr">
        <is>
          <t xml:space="preserve">• Non-diverse development approaches including:
– same software tools (e.g. IDE, compiler, linker)
非多元化的发展方式包括：
——相同的软件工具（例如集成开发环境、编译器、链接器）
</t>
        </is>
      </c>
      <c r="F403" s="45" t="inlineStr">
        <is>
          <t xml:space="preserve">Yes </t>
        </is>
      </c>
      <c r="G403" s="62" t="inlineStr">
        <is>
          <t>代码异常导致的违背安全目标</t>
        </is>
      </c>
      <c r="H403" s="63" t="inlineStr">
        <is>
          <t>工具鉴定</t>
        </is>
      </c>
      <c r="I403" s="63" t="n"/>
      <c r="J403" s="49" t="inlineStr">
        <is>
          <t>通过集成测试</t>
        </is>
      </c>
      <c r="K403" s="68" t="inlineStr">
        <is>
          <t>满足ASILB开发和测试</t>
        </is>
      </c>
      <c r="L403" s="68" t="n"/>
      <c r="M403" s="49" t="n"/>
    </row>
    <row r="404" outlineLevel="1" ht="28.5" customFormat="1" customHeight="1" s="36">
      <c r="A404" s="37">
        <f>A362&amp;"_"&amp;B404</f>
        <v/>
      </c>
      <c r="B404" s="42" t="n">
        <v>41</v>
      </c>
      <c r="C404" s="185" t="n"/>
      <c r="D404" s="185" t="n"/>
      <c r="E404" s="61" t="inlineStr">
        <is>
          <t>– same algorithms
相同的算法</t>
        </is>
      </c>
      <c r="F404" s="53" t="inlineStr">
        <is>
          <t>not applicable</t>
        </is>
      </c>
      <c r="G404" s="55" t="n"/>
      <c r="H404" s="47" t="n"/>
      <c r="I404" s="47" t="n"/>
      <c r="J404" s="49" t="n"/>
      <c r="K404" s="49" t="n"/>
      <c r="L404" s="49" t="n"/>
      <c r="M404" s="49" t="n"/>
    </row>
    <row r="405" outlineLevel="1" ht="43.5" customFormat="1" customHeight="1" s="36">
      <c r="A405" s="37">
        <f>A362&amp;"_"&amp;B405</f>
        <v/>
      </c>
      <c r="B405" s="50" t="n">
        <v>42</v>
      </c>
      <c r="C405" s="185" t="n"/>
      <c r="D405" s="185" t="n"/>
      <c r="E405" s="61" t="inlineStr">
        <is>
          <t>– same programming and/or modelling language used
所使用的编程和/或建模语言相同</t>
        </is>
      </c>
      <c r="F405" s="45" t="inlineStr">
        <is>
          <t xml:space="preserve">Yes </t>
        </is>
      </c>
      <c r="G405" s="62" t="inlineStr">
        <is>
          <t>代码异常导致的违背安全目标</t>
        </is>
      </c>
      <c r="H405" s="63" t="inlineStr">
        <is>
          <t>工具鉴定</t>
        </is>
      </c>
      <c r="I405" s="47" t="n"/>
      <c r="J405" s="49" t="inlineStr">
        <is>
          <t>通过集成测试</t>
        </is>
      </c>
      <c r="K405" s="49" t="inlineStr">
        <is>
          <t>满足ASILB开发和测试</t>
        </is>
      </c>
      <c r="L405" s="49" t="n"/>
      <c r="M405" s="49" t="n"/>
    </row>
    <row r="406" outlineLevel="1" ht="29" customFormat="1" customHeight="1" s="36">
      <c r="A406" s="37">
        <f>A362&amp;"_"&amp;B406</f>
        <v/>
      </c>
      <c r="B406" s="42" t="n">
        <v>43</v>
      </c>
      <c r="C406" s="185" t="n"/>
      <c r="D406" s="185" t="n"/>
      <c r="E406" s="61" t="inlineStr">
        <is>
          <t>– same complier/linker used
使用的是相同的编译器/链接器</t>
        </is>
      </c>
      <c r="F406" s="45" t="inlineStr">
        <is>
          <t xml:space="preserve">Yes </t>
        </is>
      </c>
      <c r="G406" s="62" t="inlineStr">
        <is>
          <t>代码异常导致的违背安全目标</t>
        </is>
      </c>
      <c r="H406" s="63" t="inlineStr">
        <is>
          <t>工具鉴定</t>
        </is>
      </c>
      <c r="I406" s="47" t="n"/>
      <c r="J406" s="49" t="inlineStr">
        <is>
          <t>通过集成测试</t>
        </is>
      </c>
      <c r="K406" s="49" t="inlineStr">
        <is>
          <t>满足ASILB开发和测试</t>
        </is>
      </c>
      <c r="L406" s="49" t="n"/>
      <c r="M406" s="49" t="n"/>
    </row>
    <row r="407" outlineLevel="1" ht="28.5" customFormat="1" customHeight="1" s="36">
      <c r="A407" s="37">
        <f>A362&amp;"_"&amp;B407</f>
        <v/>
      </c>
      <c r="B407" s="50" t="n">
        <v>44</v>
      </c>
      <c r="C407" s="185" t="n"/>
      <c r="D407" s="185" t="n"/>
      <c r="E407" s="45" t="inlineStr">
        <is>
          <t>• Same personnel
相同人员</t>
        </is>
      </c>
      <c r="F407" s="53" t="inlineStr">
        <is>
          <t>not applicable</t>
        </is>
      </c>
      <c r="G407" s="55" t="n"/>
      <c r="H407" s="47" t="n"/>
      <c r="I407" s="47" t="n"/>
      <c r="J407" s="49" t="n"/>
      <c r="K407" s="49" t="n"/>
      <c r="L407" s="49" t="n"/>
      <c r="M407" s="49" t="n"/>
    </row>
    <row r="408" outlineLevel="1" ht="57" customFormat="1" customHeight="1" s="36">
      <c r="A408" s="37">
        <f>A362&amp;"_"&amp;B408</f>
        <v/>
      </c>
      <c r="B408" s="42" t="n">
        <v>45</v>
      </c>
      <c r="C408" s="185" t="n"/>
      <c r="D408" s="185" t="n"/>
      <c r="E408" s="45" t="inlineStr">
        <is>
          <t>• Same social-cultural context (even if different personnel)
相同的社会文化背景（即便人员有所不同）</t>
        </is>
      </c>
      <c r="F408" s="53" t="inlineStr">
        <is>
          <t>not applicable</t>
        </is>
      </c>
      <c r="G408" s="55" t="n"/>
      <c r="H408" s="47" t="n"/>
      <c r="I408" s="47" t="n"/>
      <c r="J408" s="49" t="n"/>
      <c r="K408" s="49" t="n"/>
      <c r="L408" s="49" t="n"/>
      <c r="M408" s="49" t="n"/>
    </row>
    <row r="409" outlineLevel="1" ht="57.5" customFormat="1" customHeight="1" s="36">
      <c r="A409" s="37">
        <f>A362&amp;"_"&amp;B409</f>
        <v/>
      </c>
      <c r="B409" s="50" t="n">
        <v>46</v>
      </c>
      <c r="C409" s="185" t="n"/>
      <c r="D409" s="185" t="n"/>
      <c r="E409" s="45" t="inlineStr">
        <is>
          <t>• Development fault, e.g.
– human error
开发失误，例如：
– 人为错误</t>
        </is>
      </c>
      <c r="F409" s="53" t="inlineStr">
        <is>
          <t>not applicable</t>
        </is>
      </c>
      <c r="G409" s="55" t="n"/>
      <c r="H409" s="47" t="n"/>
      <c r="I409" s="47" t="n"/>
      <c r="J409" s="49" t="n"/>
      <c r="K409" s="49" t="n"/>
      <c r="L409" s="49" t="n"/>
      <c r="M409" s="49" t="n"/>
    </row>
    <row r="410" outlineLevel="1" ht="28.5" customFormat="1" customHeight="1" s="36">
      <c r="A410" s="37">
        <f>A362&amp;"_"&amp;B410</f>
        <v/>
      </c>
      <c r="B410" s="42" t="n">
        <v>47</v>
      </c>
      <c r="C410" s="185" t="n"/>
      <c r="D410" s="185" t="n"/>
      <c r="E410" s="45" t="inlineStr">
        <is>
          <t>– insufficiently qualified personnel
资质不足的人员</t>
        </is>
      </c>
      <c r="F410" s="53" t="inlineStr">
        <is>
          <t>not applicable</t>
        </is>
      </c>
      <c r="G410" s="55" t="n"/>
      <c r="H410" s="47" t="n"/>
      <c r="I410" s="47" t="n"/>
      <c r="J410" s="49" t="n"/>
      <c r="K410" s="49" t="n"/>
      <c r="L410" s="49" t="n"/>
      <c r="M410" s="49" t="n"/>
    </row>
    <row r="411" outlineLevel="1" ht="28.5" customFormat="1" customHeight="1" s="36">
      <c r="A411" s="37">
        <f>A362&amp;"_"&amp;B411</f>
        <v/>
      </c>
      <c r="B411" s="50" t="n">
        <v>48</v>
      </c>
      <c r="C411" s="185" t="n"/>
      <c r="D411" s="185" t="n"/>
      <c r="E411" s="45" t="inlineStr">
        <is>
          <t>– process weaknesses
处理弱点</t>
        </is>
      </c>
      <c r="F411" s="53" t="inlineStr">
        <is>
          <t>not applicable</t>
        </is>
      </c>
      <c r="G411" s="55" t="n"/>
      <c r="H411" s="47" t="n"/>
      <c r="I411" s="47" t="n"/>
      <c r="J411" s="49" t="n"/>
      <c r="K411" s="49" t="n"/>
      <c r="L411" s="49" t="n"/>
      <c r="M411" s="49" t="n"/>
    </row>
    <row r="412" outlineLevel="1" ht="14.5" customFormat="1" customHeight="1" s="36">
      <c r="A412" s="37">
        <f>A362&amp;"_"&amp;B412</f>
        <v/>
      </c>
      <c r="B412" s="42" t="n">
        <v>49</v>
      </c>
      <c r="C412" s="186" t="n"/>
      <c r="D412" s="186" t="n"/>
      <c r="E412" s="45" t="inlineStr">
        <is>
          <t>– insufficient methods方法不足</t>
        </is>
      </c>
      <c r="F412" s="53" t="inlineStr">
        <is>
          <t>not applicable</t>
        </is>
      </c>
      <c r="G412" s="55" t="n"/>
      <c r="H412" s="47" t="n"/>
      <c r="I412" s="47" t="n"/>
      <c r="J412" s="49" t="n"/>
      <c r="K412" s="49" t="n"/>
      <c r="L412" s="49" t="n"/>
      <c r="M412" s="49" t="n"/>
    </row>
    <row r="413" ht="75" customFormat="1" customHeight="1" s="36">
      <c r="A413" s="67">
        <f>'Top Event'!B12</f>
        <v/>
      </c>
      <c r="B413" s="67" t="n"/>
      <c r="C413" s="67">
        <f>'Top Event'!C12</f>
        <v/>
      </c>
      <c r="D413" s="67">
        <f>'Top Event'!D12</f>
        <v/>
      </c>
      <c r="E413" s="67">
        <f>'Top Event'!E12</f>
        <v/>
      </c>
      <c r="F413" s="66" t="n"/>
      <c r="G413" s="66" t="n"/>
      <c r="H413" s="64" t="n"/>
      <c r="I413" s="64" t="n"/>
      <c r="J413" s="36" t="n"/>
      <c r="K413" s="36" t="n"/>
      <c r="L413" s="36" t="n"/>
      <c r="M413" s="36" t="n"/>
    </row>
    <row r="414" ht="37.25" customFormat="1" customHeight="1" s="36">
      <c r="A414" s="37" t="n"/>
      <c r="B414" s="37" t="n"/>
      <c r="C414" s="38" t="inlineStr">
        <is>
          <t>DF-I Category</t>
        </is>
      </c>
      <c r="D414" s="38" t="inlineStr">
        <is>
          <t>Interpretation</t>
        </is>
      </c>
      <c r="E414" s="38" t="inlineStr">
        <is>
          <t>DF-Initiator Examples</t>
        </is>
      </c>
      <c r="F414" s="38" t="inlineStr">
        <is>
          <t>Applicable?</t>
        </is>
      </c>
      <c r="G414" s="38" t="inlineStr">
        <is>
          <t>safety  goal related</t>
        </is>
      </c>
      <c r="H414" s="39" t="inlineStr">
        <is>
          <t>Counter Measure</t>
        </is>
      </c>
      <c r="I414" s="39" t="inlineStr">
        <is>
          <t>Counter Measure ID</t>
        </is>
      </c>
      <c r="J414" s="38" t="inlineStr">
        <is>
          <t>Evidence</t>
        </is>
      </c>
      <c r="K414" s="38" t="inlineStr">
        <is>
          <t>sufficient?</t>
        </is>
      </c>
      <c r="L414" s="38" t="n"/>
      <c r="M414" s="41" t="inlineStr">
        <is>
          <t>Comment</t>
        </is>
      </c>
    </row>
    <row r="415" outlineLevel="1" ht="86" customFormat="1" customHeight="1" s="36">
      <c r="A415" s="37">
        <f>A413&amp;"_"&amp;B415</f>
        <v/>
      </c>
      <c r="B415" s="42" t="n">
        <v>1</v>
      </c>
      <c r="C415" s="183" t="inlineStr">
        <is>
          <t>Shared resource</t>
        </is>
      </c>
      <c r="D415" s="184" t="inlineStr">
        <is>
          <t>The same software, hardware, or system element instance used by the two elements which are therefore affected by the failure or unavailability of that shared resource, i.e. from a physical perspective.</t>
        </is>
      </c>
      <c r="E415" s="45" t="inlineStr">
        <is>
          <t>Software component used by more than one other software component, e.g.
– reused standard software modules
被多个其他软件组件所使用的软件组件，例如：
– 重复使用的标准软件模块</t>
        </is>
      </c>
      <c r="F415" s="45" t="inlineStr">
        <is>
          <t xml:space="preserve">Yes </t>
        </is>
      </c>
      <c r="G415" s="46" t="inlineStr">
        <is>
          <t>NA</t>
        </is>
      </c>
      <c r="H415" s="47" t="n"/>
      <c r="I415" s="47" t="n"/>
      <c r="J415" s="48" t="inlineStr">
        <is>
          <t>通过集成测试</t>
        </is>
      </c>
      <c r="K415" s="49" t="inlineStr">
        <is>
          <t>满足ASILB开发和测试</t>
        </is>
      </c>
      <c r="L415" s="49" t="n"/>
      <c r="M415" s="49" t="n"/>
    </row>
    <row r="416" outlineLevel="1" ht="28.5" customFormat="1" customHeight="1" s="36">
      <c r="A416" s="37">
        <f>A413&amp;"_"&amp;B416</f>
        <v/>
      </c>
      <c r="B416" s="50" t="n">
        <v>2</v>
      </c>
      <c r="C416" s="185" t="n"/>
      <c r="D416" s="185" t="n"/>
      <c r="E416" s="45" t="inlineStr">
        <is>
          <t>– libraries
库</t>
        </is>
      </c>
      <c r="F416" s="53" t="inlineStr">
        <is>
          <t>not applicable</t>
        </is>
      </c>
      <c r="G416" s="55" t="n"/>
      <c r="H416" s="47" t="n"/>
      <c r="I416" s="47" t="n"/>
      <c r="J416" s="49" t="n"/>
      <c r="K416" s="49" t="n"/>
      <c r="L416" s="49" t="n"/>
      <c r="M416" s="49" t="n"/>
    </row>
    <row r="417" outlineLevel="1" ht="28.5" customFormat="1" customHeight="1" s="36">
      <c r="A417" s="37">
        <f>A413&amp;"_"&amp;B417</f>
        <v/>
      </c>
      <c r="B417" s="42" t="n">
        <v>3</v>
      </c>
      <c r="C417" s="185" t="n"/>
      <c r="D417" s="185" t="n"/>
      <c r="E417" s="45" t="inlineStr">
        <is>
          <t>– middleware
中间件</t>
        </is>
      </c>
      <c r="F417" s="53" t="inlineStr">
        <is>
          <t>not applicable</t>
        </is>
      </c>
      <c r="G417" s="55" t="n"/>
      <c r="H417" s="47" t="n"/>
      <c r="I417" s="47" t="n"/>
      <c r="J417" s="49" t="n"/>
      <c r="K417" s="49" t="n"/>
      <c r="L417" s="49" t="n"/>
      <c r="M417" s="49" t="n"/>
    </row>
    <row r="418" outlineLevel="1" ht="28.5" customFormat="1" customHeight="1" s="36">
      <c r="A418" s="37">
        <f>A413&amp;"_"&amp;B418</f>
        <v/>
      </c>
      <c r="B418" s="50" t="n">
        <v>4</v>
      </c>
      <c r="C418" s="185" t="n"/>
      <c r="D418" s="185" t="n"/>
      <c r="E418" s="45" t="inlineStr">
        <is>
          <t>– basic software
基本软件</t>
        </is>
      </c>
      <c r="F418" s="53" t="inlineStr">
        <is>
          <t>not applicable</t>
        </is>
      </c>
      <c r="G418" s="46" t="n"/>
      <c r="H418" s="47" t="n"/>
      <c r="I418" s="47" t="n"/>
      <c r="J418" s="48" t="n"/>
      <c r="K418" s="49" t="n"/>
      <c r="L418" s="49" t="n"/>
      <c r="M418" s="49" t="n"/>
    </row>
    <row r="419" outlineLevel="1" ht="43.5" customFormat="1" customHeight="1" s="36">
      <c r="A419" s="37">
        <f>A413&amp;"_"&amp;B419</f>
        <v/>
      </c>
      <c r="B419" s="42" t="n">
        <v>5</v>
      </c>
      <c r="C419" s="185" t="n"/>
      <c r="D419" s="185" t="n"/>
      <c r="E419" s="45" t="inlineStr">
        <is>
          <t xml:space="preserve">– operating system including scheduler
——包含调度器的操作系统
</t>
        </is>
      </c>
      <c r="F419" s="53" t="inlineStr">
        <is>
          <t>not applicable</t>
        </is>
      </c>
      <c r="G419" s="55" t="n"/>
      <c r="H419" s="47" t="n"/>
      <c r="I419" s="47" t="n"/>
      <c r="J419" s="49" t="n"/>
      <c r="K419" s="49" t="n"/>
      <c r="L419" s="49" t="n"/>
      <c r="M419" s="49" t="n"/>
    </row>
    <row r="420" outlineLevel="1" ht="28.5" customFormat="1" customHeight="1" s="36">
      <c r="A420" s="37">
        <f>A413&amp;"_"&amp;B420</f>
        <v/>
      </c>
      <c r="B420" s="50" t="n">
        <v>6</v>
      </c>
      <c r="C420" s="185" t="n"/>
      <c r="D420" s="185" t="n"/>
      <c r="E420" s="45" t="inlineStr">
        <is>
          <t>– communication stack
通信协议栈</t>
        </is>
      </c>
      <c r="F420" s="53" t="inlineStr">
        <is>
          <t>not applicable</t>
        </is>
      </c>
      <c r="G420" s="46" t="n"/>
      <c r="H420" s="47" t="n"/>
      <c r="I420" s="47" t="n"/>
      <c r="J420" s="48" t="n"/>
      <c r="K420" s="49" t="n"/>
      <c r="L420" s="49" t="n"/>
      <c r="M420" s="49" t="n"/>
    </row>
    <row r="421" outlineLevel="1" ht="29" customFormat="1" customHeight="1" s="36">
      <c r="A421" s="37">
        <f>A413&amp;"_"&amp;B421</f>
        <v/>
      </c>
      <c r="B421" s="42" t="n">
        <v>7</v>
      </c>
      <c r="C421" s="185" t="n"/>
      <c r="D421" s="185" t="n"/>
      <c r="E421" s="45" t="inlineStr">
        <is>
          <t xml:space="preserve">– parameter file参数文件
</t>
        </is>
      </c>
      <c r="F421" s="53" t="inlineStr">
        <is>
          <t>not applicable</t>
        </is>
      </c>
      <c r="G421" s="55" t="n"/>
      <c r="H421" s="47" t="n"/>
      <c r="I421" s="47" t="n"/>
      <c r="J421" s="49" t="n"/>
      <c r="K421" s="49" t="n"/>
      <c r="L421" s="49" t="n"/>
      <c r="M421" s="49" t="n"/>
    </row>
    <row r="422" outlineLevel="1" ht="28.5" customFormat="1" customHeight="1" s="36">
      <c r="A422" s="37">
        <f>A413&amp;"_"&amp;B422</f>
        <v/>
      </c>
      <c r="B422" s="50" t="n">
        <v>8</v>
      </c>
      <c r="C422" s="185" t="n"/>
      <c r="D422" s="185" t="n"/>
      <c r="E422" s="45" t="inlineStr">
        <is>
          <t>– execution time
执行时间</t>
        </is>
      </c>
      <c r="F422" s="53" t="inlineStr">
        <is>
          <t>not applicable</t>
        </is>
      </c>
      <c r="G422" s="55" t="n"/>
      <c r="H422" s="47" t="n"/>
      <c r="I422" s="47" t="n"/>
      <c r="J422" s="49" t="n"/>
      <c r="K422" s="49" t="n"/>
      <c r="L422" s="49" t="n"/>
      <c r="M422" s="49" t="n"/>
    </row>
    <row r="423" outlineLevel="1" ht="14.5" customFormat="1" customHeight="1" s="36">
      <c r="A423" s="37">
        <f>A413&amp;"_"&amp;B423</f>
        <v/>
      </c>
      <c r="B423" s="42" t="n">
        <v>9</v>
      </c>
      <c r="C423" s="186" t="n"/>
      <c r="D423" s="186" t="n"/>
      <c r="E423" s="45" t="inlineStr">
        <is>
          <t>– allocated memory</t>
        </is>
      </c>
      <c r="F423" s="53" t="inlineStr">
        <is>
          <t>not applicable</t>
        </is>
      </c>
      <c r="G423" s="55" t="n"/>
      <c r="H423" s="47" t="n"/>
      <c r="I423" s="47" t="n"/>
      <c r="J423" s="49" t="n"/>
      <c r="K423" s="49" t="n"/>
      <c r="L423" s="49" t="n"/>
      <c r="M423" s="49" t="n"/>
    </row>
    <row r="424" outlineLevel="1" ht="28.5" customFormat="1" customHeight="1" s="36">
      <c r="A424" s="37">
        <f>A413&amp;"_"&amp;B424</f>
        <v/>
      </c>
      <c r="B424" s="50" t="n">
        <v>10</v>
      </c>
      <c r="C424" s="187" t="inlineStr">
        <is>
          <t>Components of
identical type</t>
        </is>
      </c>
      <c r="D424" s="187" t="inlineStr">
        <is>
          <t>Identical components may fail with higher probability simultaneously (common mode failures)</t>
        </is>
      </c>
      <c r="E424" s="45" t="inlineStr">
        <is>
          <t>• Reused standard software modules
重复使用的标准软件模块</t>
        </is>
      </c>
      <c r="F424" s="53" t="inlineStr">
        <is>
          <t>not applicable</t>
        </is>
      </c>
      <c r="G424" s="46" t="n"/>
      <c r="H424" s="47" t="n"/>
      <c r="I424" s="47" t="n"/>
      <c r="J424" s="48" t="n"/>
      <c r="K424" s="49" t="n"/>
      <c r="L424" s="49" t="n"/>
      <c r="M424" s="49" t="n"/>
    </row>
    <row r="425" outlineLevel="1" ht="28.5" customFormat="1" customHeight="1" s="36">
      <c r="A425" s="37">
        <f>A413&amp;"_"&amp;B425</f>
        <v/>
      </c>
      <c r="B425" s="42" t="n">
        <v>11</v>
      </c>
      <c r="C425" s="185" t="n"/>
      <c r="D425" s="185" t="n"/>
      <c r="E425" s="45" t="inlineStr">
        <is>
          <t>• Standard library components
标准库组件</t>
        </is>
      </c>
      <c r="F425" s="53" t="inlineStr">
        <is>
          <t>not applicable</t>
        </is>
      </c>
      <c r="G425" s="46" t="n"/>
      <c r="H425" s="47" t="n"/>
      <c r="I425" s="47" t="n"/>
      <c r="J425" s="48" t="n"/>
      <c r="K425" s="49" t="n"/>
      <c r="L425" s="49" t="n"/>
      <c r="M425" s="49" t="n"/>
    </row>
    <row r="426" outlineLevel="1" ht="28.5" customFormat="1" customHeight="1" s="36">
      <c r="A426" s="37">
        <f>A413&amp;"_"&amp;B426</f>
        <v/>
      </c>
      <c r="B426" s="50" t="n">
        <v>12</v>
      </c>
      <c r="C426" s="185" t="n"/>
      <c r="D426" s="185" t="n"/>
      <c r="E426" s="45" t="inlineStr">
        <is>
          <t>• Middleware
中间件</t>
        </is>
      </c>
      <c r="F426" s="53" t="inlineStr">
        <is>
          <t>not applicable</t>
        </is>
      </c>
      <c r="G426" s="55" t="n"/>
      <c r="H426" s="47" t="n"/>
      <c r="I426" s="47" t="n"/>
      <c r="J426" s="49" t="n"/>
      <c r="K426" s="49" t="n"/>
      <c r="L426" s="49" t="n"/>
      <c r="M426" s="49" t="n"/>
    </row>
    <row r="427" outlineLevel="1" ht="28.5" customFormat="1" customHeight="1" s="36">
      <c r="A427" s="37">
        <f>A413&amp;"_"&amp;B427</f>
        <v/>
      </c>
      <c r="B427" s="42" t="n">
        <v>13</v>
      </c>
      <c r="C427" s="185" t="n"/>
      <c r="D427" s="185" t="n"/>
      <c r="E427" s="45" t="inlineStr">
        <is>
          <t>• Operating system
操作系统</t>
        </is>
      </c>
      <c r="F427" s="53" t="inlineStr">
        <is>
          <t>not applicable</t>
        </is>
      </c>
      <c r="G427" s="55" t="n"/>
      <c r="H427" s="47" t="n"/>
      <c r="I427" s="47" t="n"/>
      <c r="J427" s="49" t="n"/>
      <c r="K427" s="49" t="n"/>
      <c r="L427" s="49" t="n"/>
      <c r="M427" s="49" t="n"/>
    </row>
    <row r="428" outlineLevel="1" ht="28.5" customFormat="1" customHeight="1" s="36">
      <c r="A428" s="37">
        <f>A413&amp;"_"&amp;B428</f>
        <v/>
      </c>
      <c r="B428" s="50" t="n">
        <v>14</v>
      </c>
      <c r="C428" s="185" t="n"/>
      <c r="D428" s="185" t="n"/>
      <c r="E428" s="45" t="inlineStr">
        <is>
          <t>• Communication stack
通信栈</t>
        </is>
      </c>
      <c r="F428" s="53" t="inlineStr">
        <is>
          <t>not applicable</t>
        </is>
      </c>
      <c r="G428" s="55" t="n"/>
      <c r="H428" s="47" t="n"/>
      <c r="I428" s="47" t="n"/>
      <c r="J428" s="49" t="n"/>
      <c r="K428" s="49" t="n"/>
      <c r="L428" s="49" t="n"/>
      <c r="M428" s="49" t="n"/>
    </row>
    <row r="429" outlineLevel="1" ht="58" customFormat="1" customHeight="1" s="36">
      <c r="A429" s="37">
        <f>A413&amp;"_"&amp;B429</f>
        <v/>
      </c>
      <c r="B429" s="42" t="n">
        <v>15</v>
      </c>
      <c r="C429" s="186" t="n"/>
      <c r="D429" s="186" t="n"/>
      <c r="E429" s="45" t="inlineStr">
        <is>
          <t xml:space="preserve">
• Parameter set
参数设置
</t>
        </is>
      </c>
      <c r="F429" s="53" t="inlineStr">
        <is>
          <t>not applicable</t>
        </is>
      </c>
      <c r="G429" s="55" t="n"/>
      <c r="H429" s="47" t="n"/>
      <c r="I429" s="47" t="n"/>
      <c r="J429" s="49" t="n"/>
      <c r="K429" s="49" t="n"/>
      <c r="L429" s="49" t="n"/>
      <c r="M429" s="49" t="n"/>
    </row>
    <row r="430" outlineLevel="1" ht="100.5" customFormat="1" customHeight="1" s="36">
      <c r="A430" s="37">
        <f>A413&amp;"_"&amp;B430</f>
        <v/>
      </c>
      <c r="B430" s="50" t="n">
        <v>16</v>
      </c>
      <c r="C430" s="187" t="inlineStr">
        <is>
          <t>Communication
between the two
functions</t>
        </is>
      </c>
      <c r="D430" s="184" t="inlineStr">
        <is>
          <t>Receiving function is affected by information that is false, lost, sent multiple times, or in the wrong order etc. from the sender</t>
        </is>
      </c>
      <c r="E430"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430" s="53" t="inlineStr">
        <is>
          <t>not applicable</t>
        </is>
      </c>
      <c r="G430" s="46" t="n"/>
      <c r="H430" s="47" t="n"/>
      <c r="I430" s="47" t="n"/>
      <c r="J430" s="48" t="n"/>
      <c r="K430" s="49" t="n"/>
      <c r="L430" s="49" t="n"/>
      <c r="M430" s="49" t="n"/>
    </row>
    <row r="431" outlineLevel="1" ht="72.5" customFormat="1" customHeight="1" s="36">
      <c r="A431" s="37">
        <f>A413&amp;"_"&amp;B431</f>
        <v/>
      </c>
      <c r="B431" s="42" t="n">
        <v>17</v>
      </c>
      <c r="C431" s="185" t="n"/>
      <c r="D431" s="185" t="n"/>
      <c r="E431" s="45" t="inlineStr">
        <is>
          <t>• Data or message corruption/ repetition*/ loss*/ delay*/ masquerading or incorrect addressing of information*
数据或信息的损坏/重复/丢失/延迟/伪装或信息的错误标识*</t>
        </is>
      </c>
      <c r="F431" s="53" t="inlineStr">
        <is>
          <t>not applicable</t>
        </is>
      </c>
      <c r="G431" s="55" t="n"/>
      <c r="H431" s="47" t="n"/>
      <c r="I431" s="47" t="n"/>
      <c r="J431" s="49" t="n"/>
      <c r="K431" s="49" t="n"/>
      <c r="L431" s="49" t="n"/>
      <c r="M431" s="49" t="n"/>
    </row>
    <row r="432" outlineLevel="1" ht="49" customFormat="1" customHeight="1" s="36">
      <c r="A432" s="37">
        <f>A413&amp;"_"&amp;B432</f>
        <v/>
      </c>
      <c r="B432" s="50" t="n">
        <v>18</v>
      </c>
      <c r="C432" s="185" t="n"/>
      <c r="D432" s="185" t="n"/>
      <c r="E432" s="45" t="inlineStr">
        <is>
          <t>• Insertion*/ sequence of information*
插入* / 信息序列*</t>
        </is>
      </c>
      <c r="F432" s="53" t="inlineStr">
        <is>
          <t>not applicable</t>
        </is>
      </c>
      <c r="G432" s="55" t="n"/>
      <c r="H432" s="47" t="n"/>
      <c r="I432" s="47" t="n"/>
      <c r="J432" s="49" t="n"/>
      <c r="K432" s="49" t="n"/>
      <c r="L432" s="49" t="n"/>
      <c r="M432" s="49" t="n"/>
    </row>
    <row r="433" outlineLevel="1" ht="48" customFormat="1" customHeight="1" s="36">
      <c r="A433" s="37">
        <f>A413&amp;"_"&amp;B433</f>
        <v/>
      </c>
      <c r="B433" s="42" t="n">
        <v>19</v>
      </c>
      <c r="C433" s="185" t="n"/>
      <c r="D433" s="185" t="n"/>
      <c r="E433" s="45" t="inlineStr">
        <is>
          <t>• Corruption of information*
信息的失真*</t>
        </is>
      </c>
      <c r="F433" s="53" t="inlineStr">
        <is>
          <t>not applicable</t>
        </is>
      </c>
      <c r="G433" s="55" t="n"/>
      <c r="H433" s="47" t="n"/>
      <c r="I433" s="47" t="n"/>
      <c r="J433" s="49" t="n"/>
      <c r="K433" s="49" t="n"/>
      <c r="L433" s="49" t="n"/>
      <c r="M433" s="49" t="n"/>
    </row>
    <row r="434" outlineLevel="1" ht="48" customFormat="1" customHeight="1" s="36">
      <c r="A434" s="37">
        <f>A413&amp;"_"&amp;B434</f>
        <v/>
      </c>
      <c r="B434" s="50" t="n">
        <v>20</v>
      </c>
      <c r="C434" s="185" t="n"/>
      <c r="D434" s="185" t="n"/>
      <c r="E434" s="45" t="inlineStr">
        <is>
          <t>• Asymmetric information sent from a sender to multiple receivers*
从发送者传向多个接收者的不对称信息*</t>
        </is>
      </c>
      <c r="F434" s="53" t="inlineStr">
        <is>
          <t>not applicable</t>
        </is>
      </c>
      <c r="G434" s="55" t="n"/>
      <c r="H434" s="47" t="n"/>
      <c r="I434" s="47" t="n"/>
      <c r="J434" s="49" t="n"/>
      <c r="K434" s="49" t="n"/>
      <c r="L434" s="49" t="n"/>
      <c r="M434" s="49" t="n"/>
    </row>
    <row r="435" outlineLevel="1" ht="48" customFormat="1" customHeight="1" s="36">
      <c r="A435" s="37">
        <f>A413&amp;"_"&amp;B435</f>
        <v/>
      </c>
      <c r="B435" s="42" t="n">
        <v>21</v>
      </c>
      <c r="C435" s="185" t="n"/>
      <c r="D435" s="185" t="n"/>
      <c r="E435" s="45" t="inlineStr">
        <is>
          <t>• Information from a sender received by only a subset of the receivers*
仅部分接收者接收到的来自发送者的信息*</t>
        </is>
      </c>
      <c r="F435" s="53" t="inlineStr">
        <is>
          <t>not applicable</t>
        </is>
      </c>
      <c r="G435" s="55" t="n"/>
      <c r="H435" s="47" t="n"/>
      <c r="I435" s="47" t="n"/>
      <c r="J435" s="49" t="n"/>
      <c r="K435" s="49" t="n"/>
      <c r="L435" s="49" t="n"/>
      <c r="M435" s="49" t="n"/>
    </row>
    <row r="436" outlineLevel="1" ht="43.5" customFormat="1" customHeight="1" s="36">
      <c r="A436" s="37">
        <f>A413&amp;"_"&amp;B436</f>
        <v/>
      </c>
      <c r="B436" s="50" t="n">
        <v>22</v>
      </c>
      <c r="C436" s="186" t="n"/>
      <c r="D436" s="186" t="n"/>
      <c r="E436" s="45" t="inlineStr">
        <is>
          <t>• Blocking access to a communication channel*
阻止对通信通道的访问*</t>
        </is>
      </c>
      <c r="F436" s="53" t="inlineStr">
        <is>
          <t>not applicable</t>
        </is>
      </c>
      <c r="G436" s="46" t="n"/>
      <c r="H436" s="47" t="n"/>
      <c r="I436" s="47" t="n"/>
      <c r="J436" s="48" t="n"/>
      <c r="K436" s="49" t="n"/>
      <c r="L436" s="49" t="n"/>
      <c r="M436" s="49" t="n"/>
    </row>
    <row r="437" outlineLevel="1" ht="45" customFormat="1" customHeight="1" s="36">
      <c r="A437" s="37">
        <f>A413&amp;"_"&amp;B437</f>
        <v/>
      </c>
      <c r="B437" s="42" t="n">
        <v>23</v>
      </c>
      <c r="C437" s="187" t="inlineStr">
        <is>
          <t>Shared information
inputs</t>
        </is>
      </c>
      <c r="D437" s="187" t="inlineStr">
        <is>
          <t>Same information consumed by the two functions even in absence of shared resources, i.e. from a functional perspective</t>
        </is>
      </c>
      <c r="E437" s="45" t="inlineStr">
        <is>
          <t>• Calibration parameters
标准参数</t>
        </is>
      </c>
      <c r="F437" s="53" t="inlineStr">
        <is>
          <t>not applicable</t>
        </is>
      </c>
      <c r="G437" s="55" t="n"/>
      <c r="H437" s="47" t="n"/>
      <c r="I437" s="47" t="n"/>
      <c r="J437" s="49" t="n"/>
      <c r="K437" s="49" t="n"/>
      <c r="L437" s="49" t="n"/>
      <c r="M437" s="49" t="n"/>
    </row>
    <row r="438" outlineLevel="1" ht="57" customFormat="1" customHeight="1" s="36">
      <c r="A438" s="37">
        <f>A413&amp;"_"&amp;B438</f>
        <v/>
      </c>
      <c r="B438" s="50" t="n">
        <v>24</v>
      </c>
      <c r="C438" s="185" t="n"/>
      <c r="D438" s="185" t="n"/>
      <c r="E438" s="45" t="inlineStr">
        <is>
          <t>• Constants, or variables, being global to the two software functions
常量或变量对于这两个软件功能而言是全局性的。</t>
        </is>
      </c>
      <c r="F438" s="53" t="inlineStr">
        <is>
          <t>not applicable</t>
        </is>
      </c>
      <c r="G438" s="46" t="n"/>
      <c r="H438" s="47" t="n"/>
      <c r="I438" s="47" t="n"/>
      <c r="J438" s="48" t="n"/>
      <c r="K438" s="49" t="n"/>
      <c r="L438" s="49" t="n"/>
      <c r="M438" s="49" t="n"/>
    </row>
    <row r="439" outlineLevel="1" ht="100" customFormat="1" customHeight="1" s="36">
      <c r="A439" s="37">
        <f>A413&amp;"_"&amp;B439</f>
        <v/>
      </c>
      <c r="B439" s="42" t="n">
        <v>25</v>
      </c>
      <c r="C439" s="185" t="n"/>
      <c r="D439" s="185" t="n"/>
      <c r="E439" s="45" t="inlineStr">
        <is>
          <t>• Basic software passes data (read from hardware register and converted into logical information) to two application software functions
基础软件会将数据（从硬件寄存器读取并转换为逻辑信息）传递给两个应用程序软件功能。</t>
        </is>
      </c>
      <c r="F439" s="53" t="inlineStr">
        <is>
          <t>not applicable</t>
        </is>
      </c>
      <c r="G439" s="55" t="n"/>
      <c r="H439" s="47" t="n"/>
      <c r="I439" s="47" t="n"/>
      <c r="J439" s="49" t="n"/>
      <c r="K439" s="49" t="n"/>
      <c r="L439" s="49" t="n"/>
      <c r="M439" s="49" t="n"/>
    </row>
    <row r="440" outlineLevel="1" ht="115.5" customFormat="1" customHeight="1" s="36">
      <c r="A440" s="37">
        <f>A413&amp;"_"&amp;B440</f>
        <v/>
      </c>
      <c r="B440" s="50" t="n">
        <v>26</v>
      </c>
      <c r="C440" s="186" t="n"/>
      <c r="D440" s="186" t="n"/>
      <c r="E440"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440" s="53" t="inlineStr">
        <is>
          <t>not applicable</t>
        </is>
      </c>
      <c r="G440" s="55" t="n"/>
      <c r="H440" s="47" t="n"/>
      <c r="I440" s="47" t="n"/>
      <c r="J440" s="49" t="n"/>
      <c r="K440" s="49" t="n"/>
      <c r="L440" s="49" t="n"/>
      <c r="M440" s="49" t="n"/>
    </row>
    <row r="441" outlineLevel="1" ht="68.5" customFormat="1" customHeight="1" s="36">
      <c r="A441" s="37">
        <f>A413&amp;"_"&amp;B441</f>
        <v/>
      </c>
      <c r="B441" s="42" t="n">
        <v>27</v>
      </c>
      <c r="C441" s="187" t="inlineStr">
        <is>
          <t>Environmental
influences</t>
        </is>
      </c>
      <c r="D441" s="184" t="inlineStr">
        <is>
          <t>Common external environmental disturbance affects both functions</t>
        </is>
      </c>
      <c r="E441" s="45" t="inlineStr">
        <is>
          <t xml:space="preserve">System-level: mechanical shock, water ingress
 系统层面：机械震动、进水                                                                                                                                                                </t>
        </is>
      </c>
      <c r="F441" s="53" t="inlineStr">
        <is>
          <t>not applicable</t>
        </is>
      </c>
      <c r="G441" s="55" t="n"/>
      <c r="H441" s="47" t="n"/>
      <c r="I441" s="47" t="n"/>
      <c r="J441" s="49" t="n"/>
      <c r="K441" s="49" t="n"/>
      <c r="L441" s="49" t="n"/>
      <c r="M441" s="49" t="n"/>
    </row>
    <row r="442" outlineLevel="1" ht="28.5" customFormat="1" customHeight="1" s="36">
      <c r="A442" s="37">
        <f>A413&amp;"_"&amp;B442</f>
        <v/>
      </c>
      <c r="B442" s="50" t="n">
        <v>28</v>
      </c>
      <c r="C442" s="185" t="n"/>
      <c r="D442" s="185" t="n"/>
      <c r="E442" s="45" t="inlineStr">
        <is>
          <t>Software-level: not applicable for Software
软件层面：不适用于软件</t>
        </is>
      </c>
      <c r="F442" s="53" t="inlineStr">
        <is>
          <t>not applicable</t>
        </is>
      </c>
      <c r="G442" s="55" t="n"/>
      <c r="H442" s="47" t="n"/>
      <c r="I442" s="47" t="n"/>
      <c r="J442" s="49" t="n"/>
      <c r="K442" s="49" t="n"/>
      <c r="L442" s="49" t="n"/>
      <c r="M442" s="49" t="n"/>
    </row>
    <row r="443" outlineLevel="1" ht="43" customFormat="1" customHeight="1" s="36">
      <c r="A443" s="37">
        <f>A413&amp;"_"&amp;B443</f>
        <v/>
      </c>
      <c r="B443" s="42" t="n">
        <v>29</v>
      </c>
      <c r="C443" s="186" t="n"/>
      <c r="D443" s="186" t="n"/>
      <c r="E443" s="45" t="inlineStr">
        <is>
          <t>Hardware-level: under and over voltage of the power supply        
硬件层面：电源的欠压和过压情况</t>
        </is>
      </c>
      <c r="F443" s="53" t="inlineStr">
        <is>
          <t>not applicable</t>
        </is>
      </c>
      <c r="G443" s="55" t="n"/>
      <c r="H443" s="47" t="n"/>
      <c r="I443" s="47" t="n"/>
      <c r="J443" s="49" t="n"/>
      <c r="K443" s="49" t="n"/>
      <c r="L443" s="49" t="n"/>
      <c r="M443" s="49" t="n"/>
    </row>
    <row r="444" outlineLevel="1" ht="72.5" customFormat="1" customHeight="1" s="36">
      <c r="A444" s="37">
        <f>A413&amp;"_"&amp;B444</f>
        <v/>
      </c>
      <c r="B444" s="50" t="n">
        <v>30</v>
      </c>
      <c r="C444" s="187" t="inlineStr">
        <is>
          <t>Unintended impact</t>
        </is>
      </c>
      <c r="D444" s="187" t="inlineStr">
        <is>
          <t>Two functions affecting each other’s elements directly via an implicit, that is unintended interface.</t>
        </is>
      </c>
      <c r="E444" s="45" t="inlineStr">
        <is>
          <t>• Memory / corruption of content*
– “wild pointers“ (including program counter stack)
内存/内容损坏*
——“失控指针”（包括程序计数器栈</t>
        </is>
      </c>
      <c r="F444" s="45" t="inlineStr">
        <is>
          <t xml:space="preserve">Yes </t>
        </is>
      </c>
      <c r="G444" s="46" t="inlineStr">
        <is>
          <t>不违背安全目标</t>
        </is>
      </c>
      <c r="H444" s="47" t="inlineStr">
        <is>
          <t>1：支持硬线制动灯点亮</t>
        </is>
      </c>
      <c r="I444" s="47" t="inlineStr">
        <is>
          <t>SW_DFA_SM_001</t>
        </is>
      </c>
      <c r="J444" s="48" t="inlineStr">
        <is>
          <t>通过集成测试</t>
        </is>
      </c>
      <c r="K444" s="48" t="inlineStr">
        <is>
          <t>满足ASILB开发和测试</t>
        </is>
      </c>
      <c r="L444" s="48" t="n"/>
      <c r="M444" s="49" t="n"/>
    </row>
    <row r="445" outlineLevel="1" ht="29" customFormat="1" customHeight="1" s="36">
      <c r="A445" s="37">
        <f>A413&amp;"_"&amp;B445</f>
        <v/>
      </c>
      <c r="B445" s="42" t="n">
        <v>31</v>
      </c>
      <c r="C445" s="185" t="n"/>
      <c r="D445" s="185" t="n"/>
      <c r="E445" s="45" t="inlineStr">
        <is>
          <t>– memory mis-allocation
——内存分配错误</t>
        </is>
      </c>
      <c r="F445" s="45" t="inlineStr">
        <is>
          <t xml:space="preserve">Yes </t>
        </is>
      </c>
      <c r="G445" s="46" t="inlineStr">
        <is>
          <t>不违背安全目标</t>
        </is>
      </c>
      <c r="H445" s="47" t="inlineStr">
        <is>
          <t>1：支持硬线制动灯点亮</t>
        </is>
      </c>
      <c r="I445" s="47" t="inlineStr">
        <is>
          <t>SW_DFA_SM_001</t>
        </is>
      </c>
      <c r="J445" s="48" t="inlineStr">
        <is>
          <t>通过集成测试</t>
        </is>
      </c>
      <c r="K445" s="48" t="inlineStr">
        <is>
          <t>满足ASILB开发和测试</t>
        </is>
      </c>
      <c r="L445" s="48" t="n"/>
      <c r="M445" s="49" t="n"/>
    </row>
    <row r="446" outlineLevel="1" ht="28.5" customFormat="1" customHeight="1" s="36">
      <c r="A446" s="37">
        <f>A413&amp;"_"&amp;B446</f>
        <v/>
      </c>
      <c r="B446" s="50" t="n">
        <v>32</v>
      </c>
      <c r="C446" s="185" t="n"/>
      <c r="D446" s="185" t="n"/>
      <c r="E446" s="45" t="inlineStr">
        <is>
          <t>– memory leaks
内存泄漏</t>
        </is>
      </c>
      <c r="F446" s="45" t="inlineStr">
        <is>
          <t xml:space="preserve">Yes </t>
        </is>
      </c>
      <c r="G446" s="46" t="inlineStr">
        <is>
          <t>不违背安全目标</t>
        </is>
      </c>
      <c r="H446" s="47" t="inlineStr">
        <is>
          <t>1：支持硬线制动灯点亮</t>
        </is>
      </c>
      <c r="I446" s="47" t="inlineStr">
        <is>
          <t>SW_DFA_SM_001</t>
        </is>
      </c>
      <c r="J446" s="48" t="inlineStr">
        <is>
          <t>通过集成测试</t>
        </is>
      </c>
      <c r="K446" s="48" t="inlineStr">
        <is>
          <t>满足ASILB开发和测试</t>
        </is>
      </c>
      <c r="L446" s="48" t="n"/>
      <c r="M446" s="49" t="n"/>
    </row>
    <row r="447" outlineLevel="1" ht="58" customFormat="1" customHeight="1" s="36">
      <c r="A447" s="37">
        <f>A413&amp;"_"&amp;B447</f>
        <v/>
      </c>
      <c r="B447" s="42" t="n">
        <v>33</v>
      </c>
      <c r="C447" s="185" t="n"/>
      <c r="D447" s="185" t="n"/>
      <c r="E447" s="45" t="inlineStr">
        <is>
          <t>– read/write access to memory allocated to another software element*
—— 对分配给其他软件组件的内存的读/写访问权限*</t>
        </is>
      </c>
      <c r="F447" s="53" t="inlineStr">
        <is>
          <t>not applicable</t>
        </is>
      </c>
      <c r="G447" s="55" t="n"/>
      <c r="H447" s="47" t="n"/>
      <c r="I447" s="47" t="n"/>
      <c r="J447" s="49" t="n"/>
      <c r="K447" s="49" t="n"/>
      <c r="L447" s="49" t="n"/>
      <c r="M447" s="49" t="n"/>
    </row>
    <row r="448" outlineLevel="1" ht="29" customFormat="1" customHeight="1" s="36">
      <c r="A448" s="37">
        <f>A413&amp;"_"&amp;B448</f>
        <v/>
      </c>
      <c r="B448" s="50" t="n">
        <v>34</v>
      </c>
      <c r="C448" s="185" t="n"/>
      <c r="D448" s="185" t="n"/>
      <c r="E448" s="45" t="inlineStr">
        <is>
          <t>– buffer under-/overflow
– 缓冲区下溢/上溢</t>
        </is>
      </c>
      <c r="F448" s="53" t="inlineStr">
        <is>
          <t>not applicable</t>
        </is>
      </c>
      <c r="G448" s="55" t="n"/>
      <c r="H448" s="47" t="n"/>
      <c r="I448" s="47" t="n"/>
      <c r="J448" s="49" t="n"/>
      <c r="K448" s="49" t="n"/>
      <c r="L448" s="49" t="n"/>
      <c r="M448" s="49" t="n"/>
    </row>
    <row r="449" outlineLevel="1" ht="57.5" customFormat="1" customHeight="1" s="36">
      <c r="A449" s="37">
        <f>A413&amp;"_"&amp;B449</f>
        <v/>
      </c>
      <c r="B449" s="42" t="n">
        <v>35</v>
      </c>
      <c r="C449" s="185" t="n"/>
      <c r="D449" s="185" t="n"/>
      <c r="E449" s="45" t="inlineStr">
        <is>
          <t>• Timing and execution
– deadlocks*
时机与执行
——死锁*</t>
        </is>
      </c>
      <c r="F449" s="53" t="inlineStr">
        <is>
          <t>not applicable</t>
        </is>
      </c>
      <c r="G449" s="55" t="n"/>
      <c r="H449" s="47" t="n"/>
      <c r="I449" s="47" t="n"/>
      <c r="J449" s="49" t="n"/>
      <c r="K449" s="49" t="n"/>
      <c r="L449" s="49" t="n"/>
      <c r="M449" s="49" t="n"/>
    </row>
    <row r="450" outlineLevel="1" ht="28.5" customFormat="1" customHeight="1" s="36">
      <c r="A450" s="37">
        <f>A413&amp;"_"&amp;B450</f>
        <v/>
      </c>
      <c r="B450" s="50" t="n">
        <v>36</v>
      </c>
      <c r="C450" s="185" t="n"/>
      <c r="D450" s="185" t="n"/>
      <c r="E450" s="45" t="inlineStr">
        <is>
          <t>– livelocks*
活锁</t>
        </is>
      </c>
      <c r="F450" s="53" t="inlineStr">
        <is>
          <t>not applicable</t>
        </is>
      </c>
      <c r="G450" s="55" t="n"/>
      <c r="H450" s="47" t="n"/>
      <c r="I450" s="47" t="n"/>
      <c r="J450" s="49" t="n"/>
      <c r="K450" s="49" t="n"/>
      <c r="L450" s="49" t="n"/>
      <c r="M450" s="49" t="n"/>
    </row>
    <row r="451" outlineLevel="1" ht="29" customFormat="1" customHeight="1" s="36">
      <c r="A451" s="37">
        <f>A413&amp;"_"&amp;B451</f>
        <v/>
      </c>
      <c r="B451" s="42" t="n">
        <v>37</v>
      </c>
      <c r="C451" s="185" t="n"/>
      <c r="D451" s="185" t="n"/>
      <c r="E451" s="45" t="inlineStr">
        <is>
          <t>– incorrect allocation of execution time*
——执行时间分配不当*</t>
        </is>
      </c>
      <c r="F451" s="53" t="inlineStr">
        <is>
          <t>not applicable</t>
        </is>
      </c>
      <c r="G451" s="55" t="n"/>
      <c r="H451" s="47" t="n"/>
      <c r="I451" s="47" t="n"/>
      <c r="J451" s="49" t="n"/>
      <c r="K451" s="49" t="n"/>
      <c r="L451" s="49" t="n"/>
      <c r="M451" s="49" t="n"/>
    </row>
    <row r="452" outlineLevel="1" ht="43.5" customFormat="1" customHeight="1" s="36">
      <c r="A452" s="37">
        <f>A413&amp;"_"&amp;B452</f>
        <v/>
      </c>
      <c r="B452" s="50" t="n">
        <v>38</v>
      </c>
      <c r="C452" s="186" t="n"/>
      <c r="D452" s="186" t="n"/>
      <c r="E452" s="45" t="inlineStr">
        <is>
          <t>– incorrect synchronization between software elements*
——软件各组成部分之间的同步不正确*</t>
        </is>
      </c>
      <c r="F452" s="53" t="inlineStr">
        <is>
          <t>not applicable</t>
        </is>
      </c>
      <c r="G452" s="46" t="n"/>
      <c r="H452" s="47" t="n"/>
      <c r="I452" s="47" t="n"/>
      <c r="J452" s="48" t="n"/>
      <c r="K452" s="49" t="n"/>
      <c r="L452" s="49" t="n"/>
      <c r="M452" s="49" t="n"/>
    </row>
    <row r="453" outlineLevel="1" ht="72" customFormat="1" customHeight="1" s="36">
      <c r="A453" s="37">
        <f>A413&amp;"_"&amp;B453</f>
        <v/>
      </c>
      <c r="B453" s="42" t="n">
        <v>39</v>
      </c>
      <c r="C453" s="187" t="inlineStr">
        <is>
          <t>Systematic coupling</t>
        </is>
      </c>
      <c r="D453" s="187" t="inlineStr">
        <is>
          <t>Systematic causes from human or tool errors can lead to the simultaneous failure of more than one function</t>
        </is>
      </c>
      <c r="E453" s="45" t="inlineStr">
        <is>
          <t>• Manufacturing fault / repair fault (e.g. false flashing, false calibration reference for sensors)
制造故障/维修故障（例如：错误的闪烁现象、传感器的错误校准参考值）</t>
        </is>
      </c>
      <c r="F453" s="53" t="inlineStr">
        <is>
          <t>not applicable</t>
        </is>
      </c>
      <c r="G453" s="55" t="n"/>
      <c r="H453" s="47" t="n"/>
      <c r="I453" s="47" t="n"/>
      <c r="J453" s="49" t="n"/>
      <c r="K453" s="49" t="n"/>
      <c r="L453" s="49" t="n"/>
      <c r="M453" s="49" t="n"/>
    </row>
    <row r="454" outlineLevel="1" ht="115.5" customFormat="1" customHeight="1" s="36">
      <c r="A454" s="37">
        <f>A413&amp;"_"&amp;B454</f>
        <v/>
      </c>
      <c r="B454" s="50" t="n">
        <v>40</v>
      </c>
      <c r="C454" s="185" t="n"/>
      <c r="D454" s="185" t="n"/>
      <c r="E454" s="61" t="inlineStr">
        <is>
          <t xml:space="preserve">• Non-diverse development approaches including:
– same software tools (e.g. IDE, compiler, linker)
非多元化的发展方式包括：
——相同的软件工具（例如集成开发环境、编译器、链接器）
</t>
        </is>
      </c>
      <c r="F454" s="45" t="inlineStr">
        <is>
          <t xml:space="preserve">Yes </t>
        </is>
      </c>
      <c r="G454" s="62" t="inlineStr">
        <is>
          <t>代码异常导致的违背安全目标</t>
        </is>
      </c>
      <c r="H454" s="63" t="inlineStr">
        <is>
          <t>工具鉴定</t>
        </is>
      </c>
      <c r="I454" s="63" t="n"/>
      <c r="J454" s="49" t="inlineStr">
        <is>
          <t>通过集成测试</t>
        </is>
      </c>
      <c r="K454" s="68" t="inlineStr">
        <is>
          <t>满足ASILB开发和测试</t>
        </is>
      </c>
      <c r="L454" s="68" t="n"/>
      <c r="M454" s="49" t="n"/>
    </row>
    <row r="455" outlineLevel="1" ht="28.5" customFormat="1" customHeight="1" s="36">
      <c r="A455" s="37">
        <f>A413&amp;"_"&amp;B455</f>
        <v/>
      </c>
      <c r="B455" s="42" t="n">
        <v>41</v>
      </c>
      <c r="C455" s="185" t="n"/>
      <c r="D455" s="185" t="n"/>
      <c r="E455" s="61" t="inlineStr">
        <is>
          <t>– same algorithms
相同的算法</t>
        </is>
      </c>
      <c r="F455" s="53" t="inlineStr">
        <is>
          <t>not applicable</t>
        </is>
      </c>
      <c r="G455" s="55" t="n"/>
      <c r="H455" s="47" t="n"/>
      <c r="I455" s="47" t="n"/>
      <c r="J455" s="49" t="n"/>
      <c r="K455" s="49" t="n"/>
      <c r="L455" s="49" t="n"/>
      <c r="M455" s="49" t="n"/>
    </row>
    <row r="456" outlineLevel="1" ht="43.5" customFormat="1" customHeight="1" s="36">
      <c r="A456" s="37">
        <f>A413&amp;"_"&amp;B456</f>
        <v/>
      </c>
      <c r="B456" s="50" t="n">
        <v>42</v>
      </c>
      <c r="C456" s="185" t="n"/>
      <c r="D456" s="185" t="n"/>
      <c r="E456" s="61" t="inlineStr">
        <is>
          <t>– same programming and/or modelling language used
所使用的编程和/或建模语言相同</t>
        </is>
      </c>
      <c r="F456" s="45" t="inlineStr">
        <is>
          <t xml:space="preserve">Yes </t>
        </is>
      </c>
      <c r="G456" s="62" t="inlineStr">
        <is>
          <t>代码异常导致的违背安全目标</t>
        </is>
      </c>
      <c r="H456" s="63" t="inlineStr">
        <is>
          <t>工具鉴定</t>
        </is>
      </c>
      <c r="I456" s="47" t="n"/>
      <c r="J456" s="49" t="inlineStr">
        <is>
          <t>通过集成测试</t>
        </is>
      </c>
      <c r="K456" s="49" t="inlineStr">
        <is>
          <t>满足ASILB开发和测试</t>
        </is>
      </c>
      <c r="L456" s="49" t="n"/>
      <c r="M456" s="49" t="n"/>
    </row>
    <row r="457" outlineLevel="1" ht="29" customFormat="1" customHeight="1" s="36">
      <c r="A457" s="37">
        <f>A413&amp;"_"&amp;B457</f>
        <v/>
      </c>
      <c r="B457" s="42" t="n">
        <v>43</v>
      </c>
      <c r="C457" s="185" t="n"/>
      <c r="D457" s="185" t="n"/>
      <c r="E457" s="61" t="inlineStr">
        <is>
          <t>– same complier/linker used
使用的是相同的编译器/链接器</t>
        </is>
      </c>
      <c r="F457" s="45" t="inlineStr">
        <is>
          <t xml:space="preserve">Yes </t>
        </is>
      </c>
      <c r="G457" s="62" t="inlineStr">
        <is>
          <t>代码异常导致的违背安全目标</t>
        </is>
      </c>
      <c r="H457" s="63" t="inlineStr">
        <is>
          <t>工具鉴定</t>
        </is>
      </c>
      <c r="I457" s="47" t="n"/>
      <c r="J457" s="49" t="inlineStr">
        <is>
          <t>通过集成测试</t>
        </is>
      </c>
      <c r="K457" s="49" t="inlineStr">
        <is>
          <t>满足ASILB开发和测试</t>
        </is>
      </c>
      <c r="L457" s="49" t="n"/>
      <c r="M457" s="49" t="n"/>
    </row>
    <row r="458" outlineLevel="1" ht="28.5" customFormat="1" customHeight="1" s="36">
      <c r="A458" s="37">
        <f>A413&amp;"_"&amp;B458</f>
        <v/>
      </c>
      <c r="B458" s="50" t="n">
        <v>44</v>
      </c>
      <c r="C458" s="185" t="n"/>
      <c r="D458" s="185" t="n"/>
      <c r="E458" s="45" t="inlineStr">
        <is>
          <t>• Same personnel
相同人员</t>
        </is>
      </c>
      <c r="F458" s="53" t="inlineStr">
        <is>
          <t>not applicable</t>
        </is>
      </c>
      <c r="G458" s="55" t="n"/>
      <c r="H458" s="47" t="n"/>
      <c r="I458" s="47" t="n"/>
      <c r="J458" s="49" t="n"/>
      <c r="K458" s="49" t="n"/>
      <c r="L458" s="49" t="n"/>
      <c r="M458" s="49" t="n"/>
    </row>
    <row r="459" outlineLevel="1" ht="57" customFormat="1" customHeight="1" s="36">
      <c r="A459" s="37">
        <f>A413&amp;"_"&amp;B459</f>
        <v/>
      </c>
      <c r="B459" s="42" t="n">
        <v>45</v>
      </c>
      <c r="C459" s="185" t="n"/>
      <c r="D459" s="185" t="n"/>
      <c r="E459" s="45" t="inlineStr">
        <is>
          <t>• Same social-cultural context (even if different personnel)
相同的社会文化背景（即便人员有所不同）</t>
        </is>
      </c>
      <c r="F459" s="53" t="inlineStr">
        <is>
          <t>not applicable</t>
        </is>
      </c>
      <c r="G459" s="55" t="n"/>
      <c r="H459" s="47" t="n"/>
      <c r="I459" s="47" t="n"/>
      <c r="J459" s="49" t="n"/>
      <c r="K459" s="49" t="n"/>
      <c r="L459" s="49" t="n"/>
      <c r="M459" s="49" t="n"/>
    </row>
    <row r="460" outlineLevel="1" ht="57.5" customFormat="1" customHeight="1" s="36">
      <c r="A460" s="37">
        <f>A413&amp;"_"&amp;B460</f>
        <v/>
      </c>
      <c r="B460" s="50" t="n">
        <v>46</v>
      </c>
      <c r="C460" s="185" t="n"/>
      <c r="D460" s="185" t="n"/>
      <c r="E460" s="45" t="inlineStr">
        <is>
          <t>• Development fault, e.g.
– human error
开发失误，例如：
– 人为错误</t>
        </is>
      </c>
      <c r="F460" s="53" t="inlineStr">
        <is>
          <t>not applicable</t>
        </is>
      </c>
      <c r="G460" s="55" t="n"/>
      <c r="H460" s="47" t="n"/>
      <c r="I460" s="47" t="n"/>
      <c r="J460" s="49" t="n"/>
      <c r="K460" s="49" t="n"/>
      <c r="L460" s="49" t="n"/>
      <c r="M460" s="49" t="n"/>
    </row>
    <row r="461" outlineLevel="1" ht="28.5" customFormat="1" customHeight="1" s="36">
      <c r="A461" s="37">
        <f>A413&amp;"_"&amp;B461</f>
        <v/>
      </c>
      <c r="B461" s="42" t="n">
        <v>47</v>
      </c>
      <c r="C461" s="185" t="n"/>
      <c r="D461" s="185" t="n"/>
      <c r="E461" s="45" t="inlineStr">
        <is>
          <t>– insufficiently qualified personnel
资质不足的人员</t>
        </is>
      </c>
      <c r="F461" s="53" t="inlineStr">
        <is>
          <t>not applicable</t>
        </is>
      </c>
      <c r="G461" s="55" t="n"/>
      <c r="H461" s="47" t="n"/>
      <c r="I461" s="47" t="n"/>
      <c r="J461" s="49" t="n"/>
      <c r="K461" s="49" t="n"/>
      <c r="L461" s="49" t="n"/>
      <c r="M461" s="49" t="n"/>
    </row>
    <row r="462" outlineLevel="1" ht="28.5" customFormat="1" customHeight="1" s="36">
      <c r="A462" s="37">
        <f>A413&amp;"_"&amp;B462</f>
        <v/>
      </c>
      <c r="B462" s="50" t="n">
        <v>48</v>
      </c>
      <c r="C462" s="185" t="n"/>
      <c r="D462" s="185" t="n"/>
      <c r="E462" s="45" t="inlineStr">
        <is>
          <t>– process weaknesses
处理弱点</t>
        </is>
      </c>
      <c r="F462" s="53" t="inlineStr">
        <is>
          <t>not applicable</t>
        </is>
      </c>
      <c r="G462" s="55" t="n"/>
      <c r="H462" s="47" t="n"/>
      <c r="I462" s="47" t="n"/>
      <c r="J462" s="49" t="n"/>
      <c r="K462" s="49" t="n"/>
      <c r="L462" s="49" t="n"/>
      <c r="M462" s="49" t="n"/>
    </row>
    <row r="463" outlineLevel="1" ht="14.5" customFormat="1" customHeight="1" s="36">
      <c r="A463" s="37">
        <f>A413&amp;"_"&amp;B463</f>
        <v/>
      </c>
      <c r="B463" s="42" t="n">
        <v>49</v>
      </c>
      <c r="C463" s="186" t="n"/>
      <c r="D463" s="186" t="n"/>
      <c r="E463" s="45" t="inlineStr">
        <is>
          <t>– insufficient methods方法不足</t>
        </is>
      </c>
      <c r="F463" s="53" t="inlineStr">
        <is>
          <t>not applicable</t>
        </is>
      </c>
      <c r="G463" s="55" t="n"/>
      <c r="H463" s="47" t="n"/>
      <c r="I463" s="47" t="n"/>
      <c r="J463" s="49" t="n"/>
      <c r="K463" s="49" t="n"/>
      <c r="L463" s="49" t="n"/>
      <c r="M463" s="49" t="n"/>
    </row>
    <row r="464" ht="75" customFormat="1" customHeight="1" s="36">
      <c r="A464" s="67">
        <f>'Top Event'!B13</f>
        <v/>
      </c>
      <c r="B464" s="67" t="n"/>
      <c r="C464" s="67">
        <f>'Top Event'!C13</f>
        <v/>
      </c>
      <c r="D464" s="69">
        <f>'Top Event'!D13</f>
        <v/>
      </c>
      <c r="E464" s="67">
        <f>'Top Event'!E13</f>
        <v/>
      </c>
      <c r="F464" s="66" t="n"/>
      <c r="G464" s="66" t="n"/>
      <c r="H464" s="64" t="n"/>
      <c r="I464" s="64" t="n"/>
      <c r="J464" s="36" t="n"/>
      <c r="K464" s="36" t="n"/>
      <c r="L464" s="36" t="n"/>
      <c r="M464" s="36" t="n"/>
    </row>
    <row r="465" ht="37.25" customFormat="1" customHeight="1" s="36">
      <c r="A465" s="37" t="n"/>
      <c r="B465" s="37" t="n"/>
      <c r="C465" s="38" t="inlineStr">
        <is>
          <t>DF-I Category</t>
        </is>
      </c>
      <c r="D465" s="38" t="inlineStr">
        <is>
          <t>Interpretation</t>
        </is>
      </c>
      <c r="E465" s="38" t="inlineStr">
        <is>
          <t>DF-Initiator Examples</t>
        </is>
      </c>
      <c r="F465" s="38" t="inlineStr">
        <is>
          <t>Applicable?</t>
        </is>
      </c>
      <c r="G465" s="38" t="inlineStr">
        <is>
          <t>safety  goal related</t>
        </is>
      </c>
      <c r="H465" s="39" t="inlineStr">
        <is>
          <t>Counter Measure</t>
        </is>
      </c>
      <c r="I465" s="39" t="inlineStr">
        <is>
          <t>Counter Measure ID</t>
        </is>
      </c>
      <c r="J465" s="38" t="inlineStr">
        <is>
          <t>Evidence</t>
        </is>
      </c>
      <c r="K465" s="38" t="inlineStr">
        <is>
          <t>sufficient?</t>
        </is>
      </c>
      <c r="L465" s="38" t="n"/>
      <c r="M465" s="41" t="inlineStr">
        <is>
          <t>Comment</t>
        </is>
      </c>
    </row>
    <row r="466" outlineLevel="1" ht="86" customFormat="1" customHeight="1" s="36">
      <c r="A466" s="37">
        <f>A464&amp;"_"&amp;B466</f>
        <v/>
      </c>
      <c r="B466" s="42" t="n">
        <v>1</v>
      </c>
      <c r="C466" s="183" t="inlineStr">
        <is>
          <t>Shared resource</t>
        </is>
      </c>
      <c r="D466" s="184" t="inlineStr">
        <is>
          <t>The same software, hardware, or system element instance used by the two elements which are therefore affected by the failure or unavailability of that shared resource, i.e. from a physical perspective.</t>
        </is>
      </c>
      <c r="E466" s="45" t="inlineStr">
        <is>
          <t>Software component used by more than one other software component, e.g.
– reused standard software modules
被多个其他软件组件所使用的软件组件，例如：
– 重复使用的标准软件模块</t>
        </is>
      </c>
      <c r="F466" s="45" t="inlineStr">
        <is>
          <t xml:space="preserve">Yes </t>
        </is>
      </c>
      <c r="G466" s="46" t="inlineStr">
        <is>
          <t>电源管理模块失效后可能导致电压检测异常造成位置制动控制模块，转向灯控制模块，倒车灯控制模块，牌照灯控制模块无法执行功能输出，违背安全目标SG01,SG02,SG03</t>
        </is>
      </c>
      <c r="H466" s="47" t="inlineStr">
        <is>
          <t>1：支持硬线制动灯点亮：
2：支持外部看门狗</t>
        </is>
      </c>
      <c r="I466" s="47" t="inlineStr">
        <is>
          <t>SW_DFA_SM_001 
SW_DFA_SM_004</t>
        </is>
      </c>
      <c r="J466" s="48" t="inlineStr">
        <is>
          <t>通过集成测试</t>
        </is>
      </c>
      <c r="K466" s="49" t="inlineStr">
        <is>
          <t>满足ASILB开发和测试</t>
        </is>
      </c>
      <c r="L466" s="49" t="n"/>
      <c r="M466" s="49" t="n"/>
    </row>
    <row r="467" outlineLevel="1" ht="28.5" customFormat="1" customHeight="1" s="36">
      <c r="A467" s="37">
        <f>A464&amp;"_"&amp;B467</f>
        <v/>
      </c>
      <c r="B467" s="50" t="n">
        <v>2</v>
      </c>
      <c r="C467" s="185" t="n"/>
      <c r="D467" s="185" t="n"/>
      <c r="E467" s="45" t="inlineStr">
        <is>
          <t>– libraries
库</t>
        </is>
      </c>
      <c r="F467" s="53" t="inlineStr">
        <is>
          <t>not applicable</t>
        </is>
      </c>
      <c r="G467" s="55" t="n"/>
      <c r="H467" s="47" t="n"/>
      <c r="I467" s="47" t="n"/>
      <c r="J467" s="49" t="n"/>
      <c r="K467" s="49" t="n"/>
      <c r="L467" s="49" t="n"/>
      <c r="M467" s="49" t="n"/>
    </row>
    <row r="468" outlineLevel="1" ht="28.5" customFormat="1" customHeight="1" s="36">
      <c r="A468" s="37">
        <f>A464&amp;"_"&amp;B468</f>
        <v/>
      </c>
      <c r="B468" s="42" t="n">
        <v>3</v>
      </c>
      <c r="C468" s="185" t="n"/>
      <c r="D468" s="185" t="n"/>
      <c r="E468" s="45" t="inlineStr">
        <is>
          <t>– middleware
中间件</t>
        </is>
      </c>
      <c r="F468" s="53" t="inlineStr">
        <is>
          <t>not applicable</t>
        </is>
      </c>
      <c r="G468" s="55" t="n"/>
      <c r="H468" s="47" t="n"/>
      <c r="I468" s="47" t="n"/>
      <c r="J468" s="49" t="n"/>
      <c r="K468" s="49" t="n"/>
      <c r="L468" s="49" t="n"/>
      <c r="M468" s="49" t="n"/>
    </row>
    <row r="469" outlineLevel="1" ht="28.5" customFormat="1" customHeight="1" s="36">
      <c r="A469" s="37">
        <f>A464&amp;"_"&amp;B469</f>
        <v/>
      </c>
      <c r="B469" s="50" t="n">
        <v>4</v>
      </c>
      <c r="C469" s="185" t="n"/>
      <c r="D469" s="185" t="n"/>
      <c r="E469" s="45" t="inlineStr">
        <is>
          <t>– basic software
基本软件</t>
        </is>
      </c>
      <c r="F469" s="53" t="inlineStr">
        <is>
          <t>not applicable</t>
        </is>
      </c>
      <c r="G469" s="46" t="n"/>
      <c r="H469" s="47" t="n"/>
      <c r="I469" s="47" t="n"/>
      <c r="J469" s="48" t="n"/>
      <c r="K469" s="49" t="n"/>
      <c r="L469" s="49" t="n"/>
      <c r="M469" s="49" t="n"/>
    </row>
    <row r="470" outlineLevel="1" ht="43.5" customFormat="1" customHeight="1" s="36">
      <c r="A470" s="37">
        <f>A464&amp;"_"&amp;B470</f>
        <v/>
      </c>
      <c r="B470" s="42" t="n">
        <v>5</v>
      </c>
      <c r="C470" s="185" t="n"/>
      <c r="D470" s="185" t="n"/>
      <c r="E470" s="45" t="inlineStr">
        <is>
          <t xml:space="preserve">– operating system including scheduler
——包含调度器的操作系统
</t>
        </is>
      </c>
      <c r="F470" s="53" t="inlineStr">
        <is>
          <t>not applicable</t>
        </is>
      </c>
      <c r="G470" s="55" t="n"/>
      <c r="H470" s="47" t="n"/>
      <c r="I470" s="47" t="n"/>
      <c r="J470" s="49" t="n"/>
      <c r="K470" s="49" t="n"/>
      <c r="L470" s="49" t="n"/>
      <c r="M470" s="49" t="n"/>
    </row>
    <row r="471" outlineLevel="1" ht="28.5" customFormat="1" customHeight="1" s="36">
      <c r="A471" s="37">
        <f>A464&amp;"_"&amp;B471</f>
        <v/>
      </c>
      <c r="B471" s="50" t="n">
        <v>6</v>
      </c>
      <c r="C471" s="185" t="n"/>
      <c r="D471" s="185" t="n"/>
      <c r="E471" s="45" t="inlineStr">
        <is>
          <t>– communication stack
通信协议栈</t>
        </is>
      </c>
      <c r="F471" s="53" t="inlineStr">
        <is>
          <t>not applicable</t>
        </is>
      </c>
      <c r="G471" s="46" t="n"/>
      <c r="H471" s="47" t="n"/>
      <c r="I471" s="47" t="n"/>
      <c r="J471" s="48" t="n"/>
      <c r="K471" s="49" t="n"/>
      <c r="L471" s="49" t="n"/>
      <c r="M471" s="49" t="n"/>
    </row>
    <row r="472" outlineLevel="1" ht="29" customFormat="1" customHeight="1" s="36">
      <c r="A472" s="37">
        <f>A464&amp;"_"&amp;B472</f>
        <v/>
      </c>
      <c r="B472" s="42" t="n">
        <v>7</v>
      </c>
      <c r="C472" s="185" t="n"/>
      <c r="D472" s="185" t="n"/>
      <c r="E472" s="45" t="inlineStr">
        <is>
          <t xml:space="preserve">– parameter file参数文件
</t>
        </is>
      </c>
      <c r="F472" s="53" t="inlineStr">
        <is>
          <t>not applicable</t>
        </is>
      </c>
      <c r="G472" s="55" t="n"/>
      <c r="H472" s="47" t="n"/>
      <c r="I472" s="47" t="n"/>
      <c r="J472" s="49" t="n"/>
      <c r="K472" s="49" t="n"/>
      <c r="L472" s="49" t="n"/>
      <c r="M472" s="49" t="n"/>
    </row>
    <row r="473" outlineLevel="1" ht="28.5" customFormat="1" customHeight="1" s="36">
      <c r="A473" s="37">
        <f>A464&amp;"_"&amp;B473</f>
        <v/>
      </c>
      <c r="B473" s="50" t="n">
        <v>8</v>
      </c>
      <c r="C473" s="185" t="n"/>
      <c r="D473" s="185" t="n"/>
      <c r="E473" s="45" t="inlineStr">
        <is>
          <t>– execution time
执行时间</t>
        </is>
      </c>
      <c r="F473" s="53" t="inlineStr">
        <is>
          <t>not applicable</t>
        </is>
      </c>
      <c r="G473" s="55" t="n"/>
      <c r="H473" s="47" t="n"/>
      <c r="I473" s="47" t="n"/>
      <c r="J473" s="49" t="n"/>
      <c r="K473" s="49" t="n"/>
      <c r="L473" s="49" t="n"/>
      <c r="M473" s="49" t="n"/>
    </row>
    <row r="474" outlineLevel="1" ht="26" customFormat="1" customHeight="1" s="36">
      <c r="A474" s="37">
        <f>A464&amp;"_"&amp;B474</f>
        <v/>
      </c>
      <c r="B474" s="42" t="n">
        <v>9</v>
      </c>
      <c r="C474" s="186" t="n"/>
      <c r="D474" s="186" t="n"/>
      <c r="E474" s="45" t="inlineStr">
        <is>
          <t>– allocated memory</t>
        </is>
      </c>
      <c r="F474" s="53" t="inlineStr">
        <is>
          <t>not applicable</t>
        </is>
      </c>
      <c r="G474" s="55" t="n"/>
      <c r="H474" s="47" t="n"/>
      <c r="I474" s="47" t="n"/>
      <c r="J474" s="49" t="n"/>
      <c r="K474" s="49" t="n"/>
      <c r="L474" s="49" t="n"/>
      <c r="M474" s="49" t="n"/>
    </row>
    <row r="475" outlineLevel="1" ht="28.5" customFormat="1" customHeight="1" s="36">
      <c r="A475" s="37">
        <f>A464&amp;"_"&amp;B475</f>
        <v/>
      </c>
      <c r="B475" s="50" t="n">
        <v>10</v>
      </c>
      <c r="C475" s="187" t="inlineStr">
        <is>
          <t>Components of
identical type</t>
        </is>
      </c>
      <c r="D475" s="187" t="inlineStr">
        <is>
          <t>Identical components may fail with higher probability simultaneously (common mode failures)</t>
        </is>
      </c>
      <c r="E475" s="45" t="inlineStr">
        <is>
          <t>• Reused standard software modules
重复使用的标准软件模块</t>
        </is>
      </c>
      <c r="F475" s="53" t="inlineStr">
        <is>
          <t>not applicable</t>
        </is>
      </c>
      <c r="G475" s="46" t="n"/>
      <c r="H475" s="47" t="n"/>
      <c r="I475" s="47" t="n"/>
      <c r="J475" s="48" t="n"/>
      <c r="K475" s="49" t="n"/>
      <c r="L475" s="49" t="n"/>
      <c r="M475" s="49" t="n"/>
    </row>
    <row r="476" outlineLevel="1" ht="28.5" customFormat="1" customHeight="1" s="36">
      <c r="A476" s="37">
        <f>A464&amp;"_"&amp;B476</f>
        <v/>
      </c>
      <c r="B476" s="42" t="n">
        <v>11</v>
      </c>
      <c r="C476" s="185" t="n"/>
      <c r="D476" s="185" t="n"/>
      <c r="E476" s="45" t="inlineStr">
        <is>
          <t>• Standard library components
标准库组件</t>
        </is>
      </c>
      <c r="F476" s="53" t="inlineStr">
        <is>
          <t>not applicable</t>
        </is>
      </c>
      <c r="G476" s="46" t="n"/>
      <c r="H476" s="47" t="n"/>
      <c r="I476" s="47" t="n"/>
      <c r="J476" s="48" t="n"/>
      <c r="K476" s="49" t="n"/>
      <c r="L476" s="49" t="n"/>
      <c r="M476" s="49" t="n"/>
    </row>
    <row r="477" outlineLevel="1" ht="28.5" customFormat="1" customHeight="1" s="36">
      <c r="A477" s="37">
        <f>A464&amp;"_"&amp;B477</f>
        <v/>
      </c>
      <c r="B477" s="50" t="n">
        <v>12</v>
      </c>
      <c r="C477" s="185" t="n"/>
      <c r="D477" s="185" t="n"/>
      <c r="E477" s="45" t="inlineStr">
        <is>
          <t>• Middleware
中间件</t>
        </is>
      </c>
      <c r="F477" s="53" t="inlineStr">
        <is>
          <t>not applicable</t>
        </is>
      </c>
      <c r="G477" s="55" t="n"/>
      <c r="H477" s="47" t="n"/>
      <c r="I477" s="47" t="n"/>
      <c r="J477" s="49" t="n"/>
      <c r="K477" s="49" t="n"/>
      <c r="L477" s="49" t="n"/>
      <c r="M477" s="49" t="n"/>
    </row>
    <row r="478" outlineLevel="1" ht="28.5" customFormat="1" customHeight="1" s="36">
      <c r="A478" s="37">
        <f>A464&amp;"_"&amp;B478</f>
        <v/>
      </c>
      <c r="B478" s="42" t="n">
        <v>13</v>
      </c>
      <c r="C478" s="185" t="n"/>
      <c r="D478" s="185" t="n"/>
      <c r="E478" s="45" t="inlineStr">
        <is>
          <t>• Operating system
操作系统</t>
        </is>
      </c>
      <c r="F478" s="53" t="inlineStr">
        <is>
          <t>not applicable</t>
        </is>
      </c>
      <c r="G478" s="55" t="n"/>
      <c r="H478" s="47" t="n"/>
      <c r="I478" s="47" t="n"/>
      <c r="J478" s="49" t="n"/>
      <c r="K478" s="49" t="n"/>
      <c r="L478" s="49" t="n"/>
      <c r="M478" s="49" t="n"/>
    </row>
    <row r="479" outlineLevel="1" ht="28.5" customFormat="1" customHeight="1" s="36">
      <c r="A479" s="37">
        <f>A464&amp;"_"&amp;B479</f>
        <v/>
      </c>
      <c r="B479" s="50" t="n">
        <v>14</v>
      </c>
      <c r="C479" s="185" t="n"/>
      <c r="D479" s="185" t="n"/>
      <c r="E479" s="45" t="inlineStr">
        <is>
          <t>• Communication stack
通信栈</t>
        </is>
      </c>
      <c r="F479" s="53" t="inlineStr">
        <is>
          <t>not applicable</t>
        </is>
      </c>
      <c r="G479" s="55" t="n"/>
      <c r="H479" s="47" t="n"/>
      <c r="I479" s="47" t="n"/>
      <c r="J479" s="49" t="n"/>
      <c r="K479" s="49" t="n"/>
      <c r="L479" s="49" t="n"/>
      <c r="M479" s="49" t="n"/>
    </row>
    <row r="480" outlineLevel="1" ht="58" customFormat="1" customHeight="1" s="36">
      <c r="A480" s="37">
        <f>A464&amp;"_"&amp;B480</f>
        <v/>
      </c>
      <c r="B480" s="42" t="n">
        <v>15</v>
      </c>
      <c r="C480" s="186" t="n"/>
      <c r="D480" s="186" t="n"/>
      <c r="E480" s="45" t="inlineStr">
        <is>
          <t xml:space="preserve">
• Parameter set
参数设置
</t>
        </is>
      </c>
      <c r="F480" s="53" t="inlineStr">
        <is>
          <t>not applicable</t>
        </is>
      </c>
      <c r="G480" s="55" t="n"/>
      <c r="H480" s="47" t="n"/>
      <c r="I480" s="47" t="n"/>
      <c r="J480" s="49" t="n"/>
      <c r="K480" s="49" t="n"/>
      <c r="L480" s="49" t="n"/>
      <c r="M480" s="49" t="n"/>
    </row>
    <row r="481" outlineLevel="1" ht="100.5" customFormat="1" customHeight="1" s="36">
      <c r="A481" s="37">
        <f>A464&amp;"_"&amp;B481</f>
        <v/>
      </c>
      <c r="B481" s="50" t="n">
        <v>16</v>
      </c>
      <c r="C481" s="187" t="inlineStr">
        <is>
          <t>Communication
between the two
functions</t>
        </is>
      </c>
      <c r="D481" s="184" t="inlineStr">
        <is>
          <t>Receiving function is affected by information that is false, lost, sent multiple times, or in the wrong order etc. from the sender</t>
        </is>
      </c>
      <c r="E481"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481" s="45" t="inlineStr">
        <is>
          <t xml:space="preserve">Yes </t>
        </is>
      </c>
      <c r="G481" s="46" t="inlineStr">
        <is>
          <t>电源管理模块失效后可能导致电压检测异常造成位置制动控制模块，转向灯控制模块，倒车灯控制模块，牌照灯控制模块无法执行功能输出，违背安全目标SG01,SG02,SG03</t>
        </is>
      </c>
      <c r="H481" s="47" t="inlineStr">
        <is>
          <t>1：支持硬线制动灯点亮：
2：支持外部看门狗</t>
        </is>
      </c>
      <c r="I481" s="47" t="inlineStr">
        <is>
          <t>SW_DFA_SM_001 
SW_DFA_SM_004</t>
        </is>
      </c>
      <c r="J481" s="48" t="inlineStr">
        <is>
          <t>通过集成测试</t>
        </is>
      </c>
      <c r="K481" s="49" t="inlineStr">
        <is>
          <t>满足ASILB开发和测试</t>
        </is>
      </c>
      <c r="L481" s="49" t="n"/>
      <c r="M481" s="49" t="n"/>
    </row>
    <row r="482" outlineLevel="1" ht="72.5" customFormat="1" customHeight="1" s="36">
      <c r="A482" s="37">
        <f>A464&amp;"_"&amp;B482</f>
        <v/>
      </c>
      <c r="B482" s="42" t="n">
        <v>17</v>
      </c>
      <c r="C482" s="185" t="n"/>
      <c r="D482" s="185" t="n"/>
      <c r="E482" s="45" t="inlineStr">
        <is>
          <t>• Data or message corruption/ repetition*/ loss*/ delay*/ masquerading or incorrect addressing of information*
数据或信息的损坏/重复/丢失/延迟/伪装或信息的错误标识*</t>
        </is>
      </c>
      <c r="F482" s="53" t="inlineStr">
        <is>
          <t>not applicable</t>
        </is>
      </c>
      <c r="G482" s="55" t="n"/>
      <c r="H482" s="47" t="n"/>
      <c r="I482" s="47" t="n"/>
      <c r="J482" s="49" t="n"/>
      <c r="K482" s="49" t="n"/>
      <c r="L482" s="49" t="n"/>
      <c r="M482" s="49" t="n"/>
    </row>
    <row r="483" outlineLevel="1" ht="49" customFormat="1" customHeight="1" s="36">
      <c r="A483" s="37">
        <f>A464&amp;"_"&amp;B483</f>
        <v/>
      </c>
      <c r="B483" s="50" t="n">
        <v>18</v>
      </c>
      <c r="C483" s="185" t="n"/>
      <c r="D483" s="185" t="n"/>
      <c r="E483" s="45" t="inlineStr">
        <is>
          <t>• Insertion*/ sequence of information*
插入* / 信息序列*</t>
        </is>
      </c>
      <c r="F483" s="53" t="inlineStr">
        <is>
          <t>not applicable</t>
        </is>
      </c>
      <c r="G483" s="55" t="n"/>
      <c r="H483" s="47" t="n"/>
      <c r="I483" s="47" t="n"/>
      <c r="J483" s="49" t="n"/>
      <c r="K483" s="49" t="n"/>
      <c r="L483" s="49" t="n"/>
      <c r="M483" s="49" t="n"/>
    </row>
    <row r="484" outlineLevel="1" ht="48" customFormat="1" customHeight="1" s="36">
      <c r="A484" s="37">
        <f>A464&amp;"_"&amp;B484</f>
        <v/>
      </c>
      <c r="B484" s="42" t="n">
        <v>19</v>
      </c>
      <c r="C484" s="185" t="n"/>
      <c r="D484" s="185" t="n"/>
      <c r="E484" s="45" t="inlineStr">
        <is>
          <t>• Corruption of information*
信息的失真*</t>
        </is>
      </c>
      <c r="F484" s="53" t="inlineStr">
        <is>
          <t>not applicable</t>
        </is>
      </c>
      <c r="G484" s="55" t="n"/>
      <c r="H484" s="47" t="n"/>
      <c r="I484" s="47" t="n"/>
      <c r="J484" s="49" t="n"/>
      <c r="K484" s="49" t="n"/>
      <c r="L484" s="49" t="n"/>
      <c r="M484" s="49" t="n"/>
    </row>
    <row r="485" outlineLevel="1" ht="48" customFormat="1" customHeight="1" s="36">
      <c r="A485" s="37">
        <f>A464&amp;"_"&amp;B485</f>
        <v/>
      </c>
      <c r="B485" s="50" t="n">
        <v>20</v>
      </c>
      <c r="C485" s="185" t="n"/>
      <c r="D485" s="185" t="n"/>
      <c r="E485" s="45" t="inlineStr">
        <is>
          <t>• Asymmetric information sent from a sender to multiple receivers*
从发送者传向多个接收者的不对称信息*</t>
        </is>
      </c>
      <c r="F485" s="53" t="inlineStr">
        <is>
          <t>not applicable</t>
        </is>
      </c>
      <c r="G485" s="55" t="n"/>
      <c r="H485" s="47" t="n"/>
      <c r="I485" s="47" t="n"/>
      <c r="J485" s="49" t="n"/>
      <c r="K485" s="49" t="n"/>
      <c r="L485" s="49" t="n"/>
      <c r="M485" s="49" t="n"/>
    </row>
    <row r="486" outlineLevel="1" ht="48" customFormat="1" customHeight="1" s="36">
      <c r="A486" s="37">
        <f>A464&amp;"_"&amp;B486</f>
        <v/>
      </c>
      <c r="B486" s="42" t="n">
        <v>21</v>
      </c>
      <c r="C486" s="185" t="n"/>
      <c r="D486" s="185" t="n"/>
      <c r="E486" s="45" t="inlineStr">
        <is>
          <t>• Information from a sender received by only a subset of the receivers*
仅部分接收者接收到的来自发送者的信息*</t>
        </is>
      </c>
      <c r="F486" s="53" t="inlineStr">
        <is>
          <t>not applicable</t>
        </is>
      </c>
      <c r="G486" s="55" t="n"/>
      <c r="H486" s="47" t="n"/>
      <c r="I486" s="47" t="n"/>
      <c r="J486" s="49" t="n"/>
      <c r="K486" s="49" t="n"/>
      <c r="L486" s="49" t="n"/>
      <c r="M486" s="49" t="n"/>
    </row>
    <row r="487" outlineLevel="1" ht="43.5" customFormat="1" customHeight="1" s="36">
      <c r="A487" s="37">
        <f>A464&amp;"_"&amp;B487</f>
        <v/>
      </c>
      <c r="B487" s="50" t="n">
        <v>22</v>
      </c>
      <c r="C487" s="186" t="n"/>
      <c r="D487" s="186" t="n"/>
      <c r="E487" s="45" t="inlineStr">
        <is>
          <t>• Blocking access to a communication channel*
阻止对通信通道的访问*</t>
        </is>
      </c>
      <c r="F487" s="53" t="inlineStr">
        <is>
          <t>not applicable</t>
        </is>
      </c>
      <c r="G487" s="46" t="n"/>
      <c r="H487" s="47" t="n"/>
      <c r="I487" s="47" t="n"/>
      <c r="J487" s="48" t="n"/>
      <c r="K487" s="49" t="n"/>
      <c r="L487" s="49" t="n"/>
      <c r="M487" s="49" t="n"/>
    </row>
    <row r="488" outlineLevel="1" ht="45" customFormat="1" customHeight="1" s="36">
      <c r="A488" s="37">
        <f>A464&amp;"_"&amp;B488</f>
        <v/>
      </c>
      <c r="B488" s="42" t="n">
        <v>23</v>
      </c>
      <c r="C488" s="187" t="inlineStr">
        <is>
          <t>Shared information
inputs</t>
        </is>
      </c>
      <c r="D488" s="187" t="inlineStr">
        <is>
          <t>Same information consumed by the two functions even in absence of shared resources, i.e. from a functional perspective</t>
        </is>
      </c>
      <c r="E488" s="45" t="inlineStr">
        <is>
          <t>• Calibration parameters
标准参数</t>
        </is>
      </c>
      <c r="F488" s="53" t="inlineStr">
        <is>
          <t>not applicable</t>
        </is>
      </c>
      <c r="G488" s="55" t="n"/>
      <c r="H488" s="47" t="n"/>
      <c r="I488" s="47" t="n"/>
      <c r="J488" s="49" t="n"/>
      <c r="K488" s="49" t="n"/>
      <c r="L488" s="49" t="n"/>
      <c r="M488" s="49" t="n"/>
    </row>
    <row r="489" outlineLevel="1" ht="84" customFormat="1" customHeight="1" s="36">
      <c r="A489" s="37">
        <f>A464&amp;"_"&amp;B489</f>
        <v/>
      </c>
      <c r="B489" s="50" t="n">
        <v>24</v>
      </c>
      <c r="C489" s="185" t="n"/>
      <c r="D489" s="185" t="n"/>
      <c r="E489" s="45" t="inlineStr">
        <is>
          <t>• Constants, or variables, being global to the two software functions
常量或变量对于这两个软件功能而言是全局性的。</t>
        </is>
      </c>
      <c r="F489" s="45" t="inlineStr">
        <is>
          <t xml:space="preserve">Yes </t>
        </is>
      </c>
      <c r="G489" s="46" t="inlineStr">
        <is>
          <t>电源管理模块失效后可能导致电压检测异常造成位置制动控制模块，转向灯控制模块，倒车灯控制模块，牌照灯控制模块无法执行功能输出，违背安全目标SG01,SG02,SG03</t>
        </is>
      </c>
      <c r="H489" s="47" t="inlineStr">
        <is>
          <t>1：支持硬线制动灯点亮：
2：支持外部看门狗</t>
        </is>
      </c>
      <c r="I489" s="47" t="inlineStr">
        <is>
          <t>SW_DFA_SM_001 
SW_DFA_SM_004</t>
        </is>
      </c>
      <c r="J489" s="48" t="inlineStr">
        <is>
          <t>通过集成测试</t>
        </is>
      </c>
      <c r="K489" s="49" t="inlineStr">
        <is>
          <t>满足ASILB开发和测试</t>
        </is>
      </c>
      <c r="L489" s="49" t="n"/>
      <c r="M489" s="49" t="n"/>
    </row>
    <row r="490" outlineLevel="1" ht="100" customFormat="1" customHeight="1" s="36">
      <c r="A490" s="37">
        <f>A464&amp;"_"&amp;B490</f>
        <v/>
      </c>
      <c r="B490" s="42" t="n">
        <v>25</v>
      </c>
      <c r="C490" s="185" t="n"/>
      <c r="D490" s="185" t="n"/>
      <c r="E490" s="45" t="inlineStr">
        <is>
          <t>• Basic software passes data (read from hardware register and converted into logical information) to two application software functions
基础软件会将数据（从硬件寄存器读取并转换为逻辑信息）传递给两个应用程序软件功能。</t>
        </is>
      </c>
      <c r="F490" s="53" t="inlineStr">
        <is>
          <t>not applicable</t>
        </is>
      </c>
      <c r="G490" s="55" t="n"/>
      <c r="H490" s="47" t="n"/>
      <c r="I490" s="47" t="n"/>
      <c r="J490" s="49" t="n"/>
      <c r="K490" s="49" t="n"/>
      <c r="L490" s="49" t="n"/>
      <c r="M490" s="49" t="n"/>
    </row>
    <row r="491" outlineLevel="1" ht="115.5" customFormat="1" customHeight="1" s="36">
      <c r="A491" s="37">
        <f>A464&amp;"_"&amp;B491</f>
        <v/>
      </c>
      <c r="B491" s="50" t="n">
        <v>26</v>
      </c>
      <c r="C491" s="186" t="n"/>
      <c r="D491" s="186" t="n"/>
      <c r="E491"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491" s="53" t="inlineStr">
        <is>
          <t>not applicable</t>
        </is>
      </c>
      <c r="G491" s="55" t="n"/>
      <c r="H491" s="47" t="n"/>
      <c r="I491" s="47" t="n"/>
      <c r="J491" s="49" t="n"/>
      <c r="K491" s="49" t="n"/>
      <c r="L491" s="49" t="n"/>
      <c r="M491" s="49" t="n"/>
    </row>
    <row r="492" outlineLevel="1" ht="68.5" customFormat="1" customHeight="1" s="36">
      <c r="A492" s="37">
        <f>A464&amp;"_"&amp;B492</f>
        <v/>
      </c>
      <c r="B492" s="42" t="n">
        <v>27</v>
      </c>
      <c r="C492" s="187" t="inlineStr">
        <is>
          <t>Environmental
influences</t>
        </is>
      </c>
      <c r="D492" s="184" t="inlineStr">
        <is>
          <t>Common external environmental disturbance affects both functions</t>
        </is>
      </c>
      <c r="E492" s="45" t="inlineStr">
        <is>
          <t xml:space="preserve">System-level: mechanical shock, water ingress
 系统层面：机械震动、进水                                                                                                                                                                </t>
        </is>
      </c>
      <c r="F492" s="53" t="inlineStr">
        <is>
          <t>not applicable</t>
        </is>
      </c>
      <c r="G492" s="55" t="n"/>
      <c r="H492" s="47" t="n"/>
      <c r="I492" s="47" t="n"/>
      <c r="J492" s="49" t="n"/>
      <c r="K492" s="49" t="n"/>
      <c r="L492" s="49" t="n"/>
      <c r="M492" s="49" t="n"/>
    </row>
    <row r="493" outlineLevel="1" ht="28.5" customFormat="1" customHeight="1" s="36">
      <c r="A493" s="37">
        <f>A464&amp;"_"&amp;B493</f>
        <v/>
      </c>
      <c r="B493" s="50" t="n">
        <v>28</v>
      </c>
      <c r="C493" s="185" t="n"/>
      <c r="D493" s="185" t="n"/>
      <c r="E493" s="45" t="inlineStr">
        <is>
          <t>Software-level: not applicable for Software
软件层面：不适用于软件</t>
        </is>
      </c>
      <c r="F493" s="53" t="inlineStr">
        <is>
          <t>not applicable</t>
        </is>
      </c>
      <c r="G493" s="55" t="n"/>
      <c r="H493" s="47" t="n"/>
      <c r="I493" s="47" t="n"/>
      <c r="J493" s="49" t="n"/>
      <c r="K493" s="49" t="n"/>
      <c r="L493" s="49" t="n"/>
      <c r="M493" s="49" t="n"/>
    </row>
    <row r="494" outlineLevel="1" ht="43" customFormat="1" customHeight="1" s="36">
      <c r="A494" s="37">
        <f>A464&amp;"_"&amp;B494</f>
        <v/>
      </c>
      <c r="B494" s="42" t="n">
        <v>29</v>
      </c>
      <c r="C494" s="186" t="n"/>
      <c r="D494" s="186" t="n"/>
      <c r="E494" s="45" t="inlineStr">
        <is>
          <t>Hardware-level: under and over voltage of the power supply        
硬件层面：电源的欠压和过压情况</t>
        </is>
      </c>
      <c r="F494" s="53" t="inlineStr">
        <is>
          <t>not applicable</t>
        </is>
      </c>
      <c r="G494" s="55" t="n"/>
      <c r="H494" s="47" t="n"/>
      <c r="I494" s="47" t="n"/>
      <c r="J494" s="49" t="n"/>
      <c r="K494" s="49" t="n"/>
      <c r="L494" s="49" t="n"/>
      <c r="M494" s="49" t="n"/>
    </row>
    <row r="495" outlineLevel="1" ht="84" customFormat="1" customHeight="1" s="36">
      <c r="A495" s="37">
        <f>A464&amp;"_"&amp;B495</f>
        <v/>
      </c>
      <c r="B495" s="50" t="n">
        <v>30</v>
      </c>
      <c r="C495" s="187" t="inlineStr">
        <is>
          <t>Unintended impact</t>
        </is>
      </c>
      <c r="D495" s="187" t="inlineStr">
        <is>
          <t>Two functions affecting each other’s elements directly via an implicit, that is unintended interface.</t>
        </is>
      </c>
      <c r="E495" s="45" t="inlineStr">
        <is>
          <t>• Memory / corruption of content*
– “wild pointers“ (including program counter stack)
内存/内容损坏*
——“失控指针”（包括程序计数器栈</t>
        </is>
      </c>
      <c r="F495" s="45" t="inlineStr">
        <is>
          <t xml:space="preserve">Yes </t>
        </is>
      </c>
      <c r="G495" s="46" t="inlineStr">
        <is>
          <t>电源管理模块失效后可能导致电压检测异常造成位置制动控制模块，转向灯控制模块，倒车灯控制模块，牌照灯控制模块无法执行功能输出，违背安全目标SG01,SG02,SG03</t>
        </is>
      </c>
      <c r="H495" s="47" t="inlineStr">
        <is>
          <t>1：支持硬线制动灯点亮：
2：支持外部看门狗</t>
        </is>
      </c>
      <c r="I495" s="47" t="inlineStr">
        <is>
          <t>SW_DFA_SM_001 
SW_DFA_SM_004</t>
        </is>
      </c>
      <c r="J495" s="48" t="inlineStr">
        <is>
          <t>通过集成测试</t>
        </is>
      </c>
      <c r="K495" s="49" t="inlineStr">
        <is>
          <t>满足ASILB开发和测试</t>
        </is>
      </c>
      <c r="L495" s="49" t="n"/>
      <c r="M495" s="49" t="n"/>
    </row>
    <row r="496" outlineLevel="1" ht="84" customFormat="1" customHeight="1" s="36">
      <c r="A496" s="37">
        <f>A464&amp;"_"&amp;B496</f>
        <v/>
      </c>
      <c r="B496" s="42" t="n">
        <v>31</v>
      </c>
      <c r="C496" s="185" t="n"/>
      <c r="D496" s="185" t="n"/>
      <c r="E496" s="45" t="inlineStr">
        <is>
          <t>– memory mis-allocation
——内存分配错误</t>
        </is>
      </c>
      <c r="F496" s="45" t="inlineStr">
        <is>
          <t xml:space="preserve">Yes </t>
        </is>
      </c>
      <c r="G496" s="46" t="inlineStr">
        <is>
          <t>电源管理模块失效后可能导致电压检测异常造成位置制动控制模块，转向灯控制模块，倒车灯控制模块，牌照灯控制模块无法执行功能输出，违背安全目标SG01,SG02,SG03</t>
        </is>
      </c>
      <c r="H496" s="47" t="inlineStr">
        <is>
          <t>1：支持硬线制动灯点亮：
2：支持外部看门狗</t>
        </is>
      </c>
      <c r="I496" s="47" t="inlineStr">
        <is>
          <t>SW_DFA_SM_001 
SW_DFA_SM_004</t>
        </is>
      </c>
      <c r="J496" s="48" t="inlineStr">
        <is>
          <t>通过集成测试</t>
        </is>
      </c>
      <c r="K496" s="49" t="inlineStr">
        <is>
          <t>满足ASILB开发和测试</t>
        </is>
      </c>
      <c r="L496" s="49" t="n"/>
      <c r="M496" s="49" t="n"/>
    </row>
    <row r="497" outlineLevel="1" ht="84" customFormat="1" customHeight="1" s="36">
      <c r="A497" s="37">
        <f>A464&amp;"_"&amp;B497</f>
        <v/>
      </c>
      <c r="B497" s="50" t="n">
        <v>32</v>
      </c>
      <c r="C497" s="185" t="n"/>
      <c r="D497" s="185" t="n"/>
      <c r="E497" s="45" t="inlineStr">
        <is>
          <t>– memory leaks
内存泄漏</t>
        </is>
      </c>
      <c r="F497" s="45" t="inlineStr">
        <is>
          <t xml:space="preserve">Yes </t>
        </is>
      </c>
      <c r="G497" s="46" t="inlineStr">
        <is>
          <t>电源管理模块失效后可能导致电压检测异常造成位置制动控制模块，转向灯控制模块，倒车灯控制模块，牌照灯控制模块无法执行功能输出，违背安全目标SG01,SG02,SG03</t>
        </is>
      </c>
      <c r="H497" s="47" t="inlineStr">
        <is>
          <t>1：支持硬线制动灯点亮：
2：支持外部看门狗</t>
        </is>
      </c>
      <c r="I497" s="47" t="inlineStr">
        <is>
          <t>SW_DFA_SM_001 
SW_DFA_SM_004</t>
        </is>
      </c>
      <c r="J497" s="48" t="inlineStr">
        <is>
          <t>通过集成测试</t>
        </is>
      </c>
      <c r="K497" s="49" t="inlineStr">
        <is>
          <t>满足ASILB开发和测试</t>
        </is>
      </c>
      <c r="L497" s="49" t="n"/>
      <c r="M497" s="49" t="n"/>
    </row>
    <row r="498" outlineLevel="1" ht="58" customFormat="1" customHeight="1" s="36">
      <c r="A498" s="37">
        <f>A464&amp;"_"&amp;B498</f>
        <v/>
      </c>
      <c r="B498" s="42" t="n">
        <v>33</v>
      </c>
      <c r="C498" s="185" t="n"/>
      <c r="D498" s="185" t="n"/>
      <c r="E498" s="45" t="inlineStr">
        <is>
          <t>– read/write access to memory allocated to another software element*
—— 对分配给其他软件组件的内存的读/写访问权限*</t>
        </is>
      </c>
      <c r="F498" s="53" t="inlineStr">
        <is>
          <t>not applicable</t>
        </is>
      </c>
      <c r="G498" s="55" t="n"/>
      <c r="H498" s="47" t="n"/>
      <c r="I498" s="47" t="n"/>
      <c r="J498" s="49" t="n"/>
      <c r="K498" s="49" t="n"/>
      <c r="L498" s="49" t="n"/>
      <c r="M498" s="49" t="n"/>
    </row>
    <row r="499" outlineLevel="1" ht="29" customFormat="1" customHeight="1" s="36">
      <c r="A499" s="37">
        <f>A464&amp;"_"&amp;B499</f>
        <v/>
      </c>
      <c r="B499" s="50" t="n">
        <v>34</v>
      </c>
      <c r="C499" s="185" t="n"/>
      <c r="D499" s="185" t="n"/>
      <c r="E499" s="45" t="inlineStr">
        <is>
          <t>– buffer under-/overflow
– 缓冲区下溢/上溢</t>
        </is>
      </c>
      <c r="F499" s="53" t="inlineStr">
        <is>
          <t>not applicable</t>
        </is>
      </c>
      <c r="G499" s="55" t="n"/>
      <c r="H499" s="47" t="n"/>
      <c r="I499" s="47" t="n"/>
      <c r="J499" s="49" t="n"/>
      <c r="K499" s="49" t="n"/>
      <c r="L499" s="49" t="n"/>
      <c r="M499" s="49" t="n"/>
    </row>
    <row r="500" outlineLevel="1" ht="57.5" customFormat="1" customHeight="1" s="36">
      <c r="A500" s="37">
        <f>A464&amp;"_"&amp;B500</f>
        <v/>
      </c>
      <c r="B500" s="42" t="n">
        <v>35</v>
      </c>
      <c r="C500" s="185" t="n"/>
      <c r="D500" s="185" t="n"/>
      <c r="E500" s="45" t="inlineStr">
        <is>
          <t>• Timing and execution
– deadlocks*
时机与执行
——死锁*</t>
        </is>
      </c>
      <c r="F500" s="53" t="inlineStr">
        <is>
          <t>not applicable</t>
        </is>
      </c>
      <c r="G500" s="55" t="n"/>
      <c r="H500" s="47" t="n"/>
      <c r="I500" s="47" t="n"/>
      <c r="J500" s="49" t="n"/>
      <c r="K500" s="49" t="n"/>
      <c r="L500" s="49" t="n"/>
      <c r="M500" s="49" t="n"/>
    </row>
    <row r="501" outlineLevel="1" ht="28.5" customFormat="1" customHeight="1" s="36">
      <c r="A501" s="37">
        <f>A464&amp;"_"&amp;B501</f>
        <v/>
      </c>
      <c r="B501" s="50" t="n">
        <v>36</v>
      </c>
      <c r="C501" s="185" t="n"/>
      <c r="D501" s="185" t="n"/>
      <c r="E501" s="45" t="inlineStr">
        <is>
          <t>– livelocks*
活锁</t>
        </is>
      </c>
      <c r="F501" s="53" t="inlineStr">
        <is>
          <t>not applicable</t>
        </is>
      </c>
      <c r="G501" s="55" t="n"/>
      <c r="H501" s="47" t="n"/>
      <c r="I501" s="47" t="n"/>
      <c r="J501" s="49" t="n"/>
      <c r="K501" s="49" t="n"/>
      <c r="L501" s="49" t="n"/>
      <c r="M501" s="49" t="n"/>
    </row>
    <row r="502" outlineLevel="1" ht="29" customFormat="1" customHeight="1" s="36">
      <c r="A502" s="37">
        <f>A464&amp;"_"&amp;B502</f>
        <v/>
      </c>
      <c r="B502" s="42" t="n">
        <v>37</v>
      </c>
      <c r="C502" s="185" t="n"/>
      <c r="D502" s="185" t="n"/>
      <c r="E502" s="45" t="inlineStr">
        <is>
          <t>– incorrect allocation of execution time*
——执行时间分配不当*</t>
        </is>
      </c>
      <c r="F502" s="53" t="inlineStr">
        <is>
          <t>not applicable</t>
        </is>
      </c>
      <c r="G502" s="55" t="n"/>
      <c r="H502" s="47" t="n"/>
      <c r="I502" s="47" t="n"/>
      <c r="J502" s="49" t="n"/>
      <c r="K502" s="49" t="n"/>
      <c r="L502" s="49" t="n"/>
      <c r="M502" s="49" t="n"/>
    </row>
    <row r="503" outlineLevel="1" ht="43.5" customFormat="1" customHeight="1" s="36">
      <c r="A503" s="37">
        <f>A464&amp;"_"&amp;B503</f>
        <v/>
      </c>
      <c r="B503" s="50" t="n">
        <v>38</v>
      </c>
      <c r="C503" s="186" t="n"/>
      <c r="D503" s="186" t="n"/>
      <c r="E503" s="45" t="inlineStr">
        <is>
          <t>– incorrect synchronization between software elements*
——软件各组成部分之间的同步不正确*</t>
        </is>
      </c>
      <c r="F503" s="53" t="inlineStr">
        <is>
          <t>not applicable</t>
        </is>
      </c>
      <c r="G503" s="46" t="n"/>
      <c r="H503" s="47" t="n"/>
      <c r="I503" s="47" t="n"/>
      <c r="J503" s="48" t="n"/>
      <c r="K503" s="49" t="n"/>
      <c r="L503" s="49" t="n"/>
      <c r="M503" s="49" t="n"/>
    </row>
    <row r="504" outlineLevel="1" ht="72" customFormat="1" customHeight="1" s="36">
      <c r="A504" s="37">
        <f>A464&amp;"_"&amp;B504</f>
        <v/>
      </c>
      <c r="B504" s="42" t="n">
        <v>39</v>
      </c>
      <c r="C504" s="187" t="inlineStr">
        <is>
          <t>Systematic coupling</t>
        </is>
      </c>
      <c r="D504" s="187" t="inlineStr">
        <is>
          <t>Systematic causes from human or tool errors can lead to the simultaneous failure of more than one function</t>
        </is>
      </c>
      <c r="E504" s="45" t="inlineStr">
        <is>
          <t>• Manufacturing fault / repair fault (e.g. false flashing, false calibration reference for sensors)
制造故障/维修故障（例如：错误的闪烁现象、传感器的错误校准参考值）</t>
        </is>
      </c>
      <c r="F504" s="53" t="inlineStr">
        <is>
          <t>not applicable</t>
        </is>
      </c>
      <c r="G504" s="55" t="n"/>
      <c r="H504" s="47" t="n"/>
      <c r="I504" s="47" t="n"/>
      <c r="J504" s="49" t="n"/>
      <c r="K504" s="49" t="n"/>
      <c r="L504" s="49" t="n"/>
      <c r="M504" s="49" t="n"/>
    </row>
    <row r="505" outlineLevel="1" ht="115.5" customFormat="1" customHeight="1" s="36">
      <c r="A505" s="37">
        <f>A464&amp;"_"&amp;B505</f>
        <v/>
      </c>
      <c r="B505" s="50" t="n">
        <v>40</v>
      </c>
      <c r="C505" s="185" t="n"/>
      <c r="D505" s="185" t="n"/>
      <c r="E505" s="61" t="inlineStr">
        <is>
          <t xml:space="preserve">• Non-diverse development approaches including:
– same software tools (e.g. IDE, compiler, linker)
非多元化的发展方式包括：
——相同的软件工具（例如集成开发环境、编译器、链接器）
</t>
        </is>
      </c>
      <c r="F505" s="45" t="inlineStr">
        <is>
          <t xml:space="preserve">Yes </t>
        </is>
      </c>
      <c r="G505" s="62" t="inlineStr">
        <is>
          <t>代码异常导致的违背安全目标</t>
        </is>
      </c>
      <c r="H505" s="63" t="inlineStr">
        <is>
          <t>工具鉴定</t>
        </is>
      </c>
      <c r="I505" s="63" t="n"/>
      <c r="J505" s="49" t="inlineStr">
        <is>
          <t>通过集成测试</t>
        </is>
      </c>
      <c r="K505" s="68" t="inlineStr">
        <is>
          <t>满足ASILB开发和测试</t>
        </is>
      </c>
      <c r="L505" s="68" t="n"/>
      <c r="M505" s="49" t="n"/>
    </row>
    <row r="506" outlineLevel="1" ht="28.5" customFormat="1" customHeight="1" s="36">
      <c r="A506" s="37">
        <f>A464&amp;"_"&amp;B506</f>
        <v/>
      </c>
      <c r="B506" s="42" t="n">
        <v>41</v>
      </c>
      <c r="C506" s="185" t="n"/>
      <c r="D506" s="185" t="n"/>
      <c r="E506" s="61" t="inlineStr">
        <is>
          <t>– same algorithms
相同的算法</t>
        </is>
      </c>
      <c r="F506" s="53" t="inlineStr">
        <is>
          <t>not applicable</t>
        </is>
      </c>
      <c r="G506" s="55" t="n"/>
      <c r="H506" s="47" t="n"/>
      <c r="I506" s="47" t="n"/>
      <c r="J506" s="49" t="n"/>
      <c r="K506" s="49" t="n"/>
      <c r="L506" s="49" t="n"/>
      <c r="M506" s="49" t="n"/>
    </row>
    <row r="507" outlineLevel="1" ht="43.5" customFormat="1" customHeight="1" s="36">
      <c r="A507" s="37">
        <f>A464&amp;"_"&amp;B507</f>
        <v/>
      </c>
      <c r="B507" s="50" t="n">
        <v>42</v>
      </c>
      <c r="C507" s="185" t="n"/>
      <c r="D507" s="185" t="n"/>
      <c r="E507" s="61" t="inlineStr">
        <is>
          <t>– same programming and/or modelling language used
所使用的编程和/或建模语言相同</t>
        </is>
      </c>
      <c r="F507" s="45" t="inlineStr">
        <is>
          <t xml:space="preserve">Yes </t>
        </is>
      </c>
      <c r="G507" s="62" t="inlineStr">
        <is>
          <t>代码异常导致的违背安全目标</t>
        </is>
      </c>
      <c r="H507" s="63" t="inlineStr">
        <is>
          <t>工具鉴定</t>
        </is>
      </c>
      <c r="I507" s="47" t="n"/>
      <c r="J507" s="49" t="inlineStr">
        <is>
          <t>通过集成测试</t>
        </is>
      </c>
      <c r="K507" s="49" t="inlineStr">
        <is>
          <t>满足ASILB开发和测试</t>
        </is>
      </c>
      <c r="L507" s="49" t="n"/>
      <c r="M507" s="49" t="n"/>
    </row>
    <row r="508" outlineLevel="1" ht="29" customFormat="1" customHeight="1" s="36">
      <c r="A508" s="37">
        <f>A464&amp;"_"&amp;B508</f>
        <v/>
      </c>
      <c r="B508" s="42" t="n">
        <v>43</v>
      </c>
      <c r="C508" s="185" t="n"/>
      <c r="D508" s="185" t="n"/>
      <c r="E508" s="61" t="inlineStr">
        <is>
          <t>– same complier/linker used
使用的是相同的编译器/链接器</t>
        </is>
      </c>
      <c r="F508" s="45" t="inlineStr">
        <is>
          <t xml:space="preserve">Yes </t>
        </is>
      </c>
      <c r="G508" s="62" t="inlineStr">
        <is>
          <t>代码异常导致的违背安全目标</t>
        </is>
      </c>
      <c r="H508" s="63" t="inlineStr">
        <is>
          <t>工具鉴定</t>
        </is>
      </c>
      <c r="I508" s="47" t="n"/>
      <c r="J508" s="49" t="inlineStr">
        <is>
          <t>通过集成测试</t>
        </is>
      </c>
      <c r="K508" s="49" t="inlineStr">
        <is>
          <t>满足ASILB开发和测试</t>
        </is>
      </c>
      <c r="L508" s="49" t="n"/>
      <c r="M508" s="49" t="n"/>
    </row>
    <row r="509" outlineLevel="1" ht="28.5" customFormat="1" customHeight="1" s="36">
      <c r="A509" s="37">
        <f>A464&amp;"_"&amp;B509</f>
        <v/>
      </c>
      <c r="B509" s="50" t="n">
        <v>44</v>
      </c>
      <c r="C509" s="185" t="n"/>
      <c r="D509" s="185" t="n"/>
      <c r="E509" s="45" t="inlineStr">
        <is>
          <t>• Same personnel
相同人员</t>
        </is>
      </c>
      <c r="F509" s="53" t="inlineStr">
        <is>
          <t>not applicable</t>
        </is>
      </c>
      <c r="G509" s="55" t="n"/>
      <c r="H509" s="47" t="n"/>
      <c r="I509" s="47" t="n"/>
      <c r="J509" s="49" t="n"/>
      <c r="K509" s="49" t="n"/>
      <c r="L509" s="49" t="n"/>
      <c r="M509" s="49" t="n"/>
    </row>
    <row r="510" outlineLevel="1" ht="57" customFormat="1" customHeight="1" s="36">
      <c r="A510" s="37">
        <f>A464&amp;"_"&amp;B510</f>
        <v/>
      </c>
      <c r="B510" s="42" t="n">
        <v>45</v>
      </c>
      <c r="C510" s="185" t="n"/>
      <c r="D510" s="185" t="n"/>
      <c r="E510" s="45" t="inlineStr">
        <is>
          <t>• Same social-cultural context (even if different personnel)
相同的社会文化背景（即便人员有所不同）</t>
        </is>
      </c>
      <c r="F510" s="53" t="inlineStr">
        <is>
          <t>not applicable</t>
        </is>
      </c>
      <c r="G510" s="55" t="n"/>
      <c r="H510" s="47" t="n"/>
      <c r="I510" s="47" t="n"/>
      <c r="J510" s="49" t="n"/>
      <c r="K510" s="49" t="n"/>
      <c r="L510" s="49" t="n"/>
      <c r="M510" s="49" t="n"/>
    </row>
    <row r="511" outlineLevel="1" ht="57.5" customFormat="1" customHeight="1" s="36">
      <c r="A511" s="37">
        <f>A464&amp;"_"&amp;B511</f>
        <v/>
      </c>
      <c r="B511" s="50" t="n">
        <v>46</v>
      </c>
      <c r="C511" s="185" t="n"/>
      <c r="D511" s="185" t="n"/>
      <c r="E511" s="45" t="inlineStr">
        <is>
          <t>• Development fault, e.g.
– human error
开发失误，例如：
– 人为错误</t>
        </is>
      </c>
      <c r="F511" s="53" t="inlineStr">
        <is>
          <t>not applicable</t>
        </is>
      </c>
      <c r="G511" s="55" t="n"/>
      <c r="H511" s="47" t="n"/>
      <c r="I511" s="47" t="n"/>
      <c r="J511" s="49" t="n"/>
      <c r="K511" s="49" t="n"/>
      <c r="L511" s="49" t="n"/>
      <c r="M511" s="49" t="n"/>
    </row>
    <row r="512" outlineLevel="1" ht="28.5" customFormat="1" customHeight="1" s="36">
      <c r="A512" s="37">
        <f>A464&amp;"_"&amp;B512</f>
        <v/>
      </c>
      <c r="B512" s="42" t="n">
        <v>47</v>
      </c>
      <c r="C512" s="185" t="n"/>
      <c r="D512" s="185" t="n"/>
      <c r="E512" s="45" t="inlineStr">
        <is>
          <t>– insufficiently qualified personnel
资质不足的人员</t>
        </is>
      </c>
      <c r="F512" s="53" t="inlineStr">
        <is>
          <t>not applicable</t>
        </is>
      </c>
      <c r="G512" s="55" t="n"/>
      <c r="H512" s="47" t="n"/>
      <c r="I512" s="47" t="n"/>
      <c r="J512" s="49" t="n"/>
      <c r="K512" s="49" t="n"/>
      <c r="L512" s="49" t="n"/>
      <c r="M512" s="49" t="n"/>
    </row>
    <row r="513" outlineLevel="1" ht="28.5" customFormat="1" customHeight="1" s="36">
      <c r="A513" s="37">
        <f>A464&amp;"_"&amp;B513</f>
        <v/>
      </c>
      <c r="B513" s="50" t="n">
        <v>48</v>
      </c>
      <c r="C513" s="185" t="n"/>
      <c r="D513" s="185" t="n"/>
      <c r="E513" s="45" t="inlineStr">
        <is>
          <t>– process weaknesses
处理弱点</t>
        </is>
      </c>
      <c r="F513" s="53" t="inlineStr">
        <is>
          <t>not applicable</t>
        </is>
      </c>
      <c r="G513" s="55" t="n"/>
      <c r="H513" s="47" t="n"/>
      <c r="I513" s="47" t="n"/>
      <c r="J513" s="49" t="n"/>
      <c r="K513" s="49" t="n"/>
      <c r="L513" s="49" t="n"/>
      <c r="M513" s="49" t="n"/>
    </row>
    <row r="514" outlineLevel="1" ht="26" customFormat="1" customHeight="1" s="36">
      <c r="A514" s="37">
        <f>A464&amp;"_"&amp;B514</f>
        <v/>
      </c>
      <c r="B514" s="42" t="n">
        <v>49</v>
      </c>
      <c r="C514" s="186" t="n"/>
      <c r="D514" s="186" t="n"/>
      <c r="E514" s="45" t="inlineStr">
        <is>
          <t>– insufficient methods方法不足</t>
        </is>
      </c>
      <c r="F514" s="53" t="inlineStr">
        <is>
          <t>not applicable</t>
        </is>
      </c>
      <c r="G514" s="55" t="n"/>
      <c r="H514" s="47" t="n"/>
      <c r="I514" s="47" t="n"/>
      <c r="J514" s="49" t="n"/>
      <c r="K514" s="49" t="n"/>
      <c r="L514" s="49" t="n"/>
      <c r="M514" s="49" t="n"/>
    </row>
    <row r="515" ht="75" customFormat="1" customHeight="1" s="36">
      <c r="A515" s="67">
        <f>'Top Event'!B14</f>
        <v/>
      </c>
      <c r="B515" s="67" t="n"/>
      <c r="C515" s="67">
        <f>'Top Event'!C14</f>
        <v/>
      </c>
      <c r="D515" s="69">
        <f>'Top Event'!D14</f>
        <v/>
      </c>
      <c r="E515" s="67">
        <f>'Top Event'!E14</f>
        <v/>
      </c>
      <c r="F515" s="66" t="n"/>
      <c r="G515" s="66" t="n"/>
      <c r="H515" s="64" t="n"/>
      <c r="I515" s="64" t="n"/>
      <c r="J515" s="36" t="n"/>
      <c r="K515" s="36" t="n"/>
      <c r="L515" s="36" t="n"/>
      <c r="M515" s="36" t="n"/>
    </row>
    <row r="516" ht="37.25" customFormat="1" customHeight="1" s="36">
      <c r="A516" s="37" t="n"/>
      <c r="B516" s="37" t="n"/>
      <c r="C516" s="38" t="inlineStr">
        <is>
          <t>DF-I Category</t>
        </is>
      </c>
      <c r="D516" s="38" t="inlineStr">
        <is>
          <t>Interpretation</t>
        </is>
      </c>
      <c r="E516" s="38" t="inlineStr">
        <is>
          <t>DF-Initiator Examples</t>
        </is>
      </c>
      <c r="F516" s="38" t="inlineStr">
        <is>
          <t>Applicable?</t>
        </is>
      </c>
      <c r="G516" s="38" t="inlineStr">
        <is>
          <t>safety  goal related</t>
        </is>
      </c>
      <c r="H516" s="39" t="inlineStr">
        <is>
          <t>Counter Measure</t>
        </is>
      </c>
      <c r="I516" s="39" t="inlineStr">
        <is>
          <t>Counter Measure ID</t>
        </is>
      </c>
      <c r="J516" s="38" t="inlineStr">
        <is>
          <t>Evidence</t>
        </is>
      </c>
      <c r="K516" s="38" t="inlineStr">
        <is>
          <t>sufficient?</t>
        </is>
      </c>
      <c r="L516" s="38" t="n"/>
      <c r="M516" s="41" t="inlineStr">
        <is>
          <t>Comment</t>
        </is>
      </c>
    </row>
    <row r="517" outlineLevel="1" ht="86" customFormat="1" customHeight="1" s="36">
      <c r="A517" s="37">
        <f>A515&amp;"_"&amp;B517</f>
        <v/>
      </c>
      <c r="B517" s="42" t="n">
        <v>1</v>
      </c>
      <c r="C517" s="183" t="inlineStr">
        <is>
          <t>Shared resource</t>
        </is>
      </c>
      <c r="D517" s="184" t="inlineStr">
        <is>
          <t>The same software, hardware, or system element instance used by the two elements which are therefore affected by the failure or unavailability of that shared resource, i.e. from a physical perspective.</t>
        </is>
      </c>
      <c r="E517" s="45" t="inlineStr">
        <is>
          <t>Software component used by more than one other software component, e.g.
– reused standard software modules
被多个其他软件组件所使用的软件组件，例如：
– 重复使用的标准软件模块</t>
        </is>
      </c>
      <c r="F517" s="53" t="inlineStr">
        <is>
          <t>not applicable</t>
        </is>
      </c>
      <c r="G517" s="46" t="n"/>
      <c r="H517" s="47" t="n"/>
      <c r="I517" s="47" t="n"/>
      <c r="J517" s="48" t="n"/>
      <c r="K517" s="49" t="n"/>
      <c r="L517" s="49" t="n"/>
      <c r="M517" s="49" t="n"/>
    </row>
    <row r="518" outlineLevel="1" ht="28.5" customFormat="1" customHeight="1" s="36">
      <c r="A518" s="37">
        <f>A515&amp;"_"&amp;B518</f>
        <v/>
      </c>
      <c r="B518" s="50" t="n">
        <v>2</v>
      </c>
      <c r="C518" s="185" t="n"/>
      <c r="D518" s="185" t="n"/>
      <c r="E518" s="45" t="inlineStr">
        <is>
          <t>– libraries
库</t>
        </is>
      </c>
      <c r="F518" s="53" t="inlineStr">
        <is>
          <t>not applicable</t>
        </is>
      </c>
      <c r="G518" s="55" t="n"/>
      <c r="H518" s="47" t="n"/>
      <c r="I518" s="47" t="n"/>
      <c r="J518" s="49" t="n"/>
      <c r="K518" s="49" t="n"/>
      <c r="L518" s="49" t="n"/>
      <c r="M518" s="49" t="n"/>
    </row>
    <row r="519" outlineLevel="1" ht="28.5" customFormat="1" customHeight="1" s="36">
      <c r="A519" s="37">
        <f>A515&amp;"_"&amp;B519</f>
        <v/>
      </c>
      <c r="B519" s="42" t="n">
        <v>3</v>
      </c>
      <c r="C519" s="185" t="n"/>
      <c r="D519" s="185" t="n"/>
      <c r="E519" s="45" t="inlineStr">
        <is>
          <t>– middleware
中间件</t>
        </is>
      </c>
      <c r="F519" s="53" t="inlineStr">
        <is>
          <t>not applicable</t>
        </is>
      </c>
      <c r="G519" s="55" t="n"/>
      <c r="H519" s="47" t="n"/>
      <c r="I519" s="47" t="n"/>
      <c r="J519" s="49" t="n"/>
      <c r="K519" s="49" t="n"/>
      <c r="L519" s="49" t="n"/>
      <c r="M519" s="49" t="n"/>
    </row>
    <row r="520" outlineLevel="1" ht="28.5" customFormat="1" customHeight="1" s="36">
      <c r="A520" s="37">
        <f>A515&amp;"_"&amp;B520</f>
        <v/>
      </c>
      <c r="B520" s="50" t="n">
        <v>4</v>
      </c>
      <c r="C520" s="185" t="n"/>
      <c r="D520" s="185" t="n"/>
      <c r="E520" s="45" t="inlineStr">
        <is>
          <t>– basic software
基本软件</t>
        </is>
      </c>
      <c r="F520" s="53" t="inlineStr">
        <is>
          <t>not applicable</t>
        </is>
      </c>
      <c r="G520" s="46" t="n"/>
      <c r="H520" s="47" t="n"/>
      <c r="I520" s="47" t="n"/>
      <c r="J520" s="48" t="n"/>
      <c r="K520" s="49" t="n"/>
      <c r="L520" s="49" t="n"/>
      <c r="M520" s="49" t="n"/>
    </row>
    <row r="521" outlineLevel="1" ht="43.5" customFormat="1" customHeight="1" s="36">
      <c r="A521" s="37">
        <f>A515&amp;"_"&amp;B521</f>
        <v/>
      </c>
      <c r="B521" s="42" t="n">
        <v>5</v>
      </c>
      <c r="C521" s="185" t="n"/>
      <c r="D521" s="185" t="n"/>
      <c r="E521" s="45" t="inlineStr">
        <is>
          <t xml:space="preserve">– operating system including scheduler
——包含调度器的操作系统
</t>
        </is>
      </c>
      <c r="F521" s="53" t="inlineStr">
        <is>
          <t>not applicable</t>
        </is>
      </c>
      <c r="G521" s="55" t="n"/>
      <c r="H521" s="47" t="n"/>
      <c r="I521" s="47" t="n"/>
      <c r="J521" s="49" t="n"/>
      <c r="K521" s="49" t="n"/>
      <c r="L521" s="49" t="n"/>
      <c r="M521" s="49" t="n"/>
    </row>
    <row r="522" outlineLevel="1" ht="28.5" customFormat="1" customHeight="1" s="36">
      <c r="A522" s="37">
        <f>A515&amp;"_"&amp;B522</f>
        <v/>
      </c>
      <c r="B522" s="50" t="n">
        <v>6</v>
      </c>
      <c r="C522" s="185" t="n"/>
      <c r="D522" s="185" t="n"/>
      <c r="E522" s="45" t="inlineStr">
        <is>
          <t>– communication stack
通信协议栈</t>
        </is>
      </c>
      <c r="F522" s="53" t="inlineStr">
        <is>
          <t>not applicable</t>
        </is>
      </c>
      <c r="G522" s="46" t="n"/>
      <c r="H522" s="47" t="n"/>
      <c r="I522" s="47" t="n"/>
      <c r="J522" s="48" t="n"/>
      <c r="K522" s="49" t="n"/>
      <c r="L522" s="49" t="n"/>
      <c r="M522" s="49" t="n"/>
    </row>
    <row r="523" outlineLevel="1" ht="29" customFormat="1" customHeight="1" s="36">
      <c r="A523" s="37">
        <f>A515&amp;"_"&amp;B523</f>
        <v/>
      </c>
      <c r="B523" s="42" t="n">
        <v>7</v>
      </c>
      <c r="C523" s="185" t="n"/>
      <c r="D523" s="185" t="n"/>
      <c r="E523" s="45" t="inlineStr">
        <is>
          <t xml:space="preserve">– parameter file参数文件
</t>
        </is>
      </c>
      <c r="F523" s="53" t="inlineStr">
        <is>
          <t>not applicable</t>
        </is>
      </c>
      <c r="G523" s="55" t="n"/>
      <c r="H523" s="47" t="n"/>
      <c r="I523" s="47" t="n"/>
      <c r="J523" s="49" t="n"/>
      <c r="K523" s="49" t="n"/>
      <c r="L523" s="49" t="n"/>
      <c r="M523" s="49" t="n"/>
    </row>
    <row r="524" outlineLevel="1" ht="28.5" customFormat="1" customHeight="1" s="36">
      <c r="A524" s="37">
        <f>A515&amp;"_"&amp;B524</f>
        <v/>
      </c>
      <c r="B524" s="50" t="n">
        <v>8</v>
      </c>
      <c r="C524" s="185" t="n"/>
      <c r="D524" s="185" t="n"/>
      <c r="E524" s="45" t="inlineStr">
        <is>
          <t>– execution time
执行时间</t>
        </is>
      </c>
      <c r="F524" s="53" t="inlineStr">
        <is>
          <t>not applicable</t>
        </is>
      </c>
      <c r="G524" s="55" t="n"/>
      <c r="H524" s="47" t="n"/>
      <c r="I524" s="47" t="n"/>
      <c r="J524" s="49" t="n"/>
      <c r="K524" s="49" t="n"/>
      <c r="L524" s="49" t="n"/>
      <c r="M524" s="49" t="n"/>
    </row>
    <row r="525" outlineLevel="1" ht="26" customFormat="1" customHeight="1" s="36">
      <c r="A525" s="37">
        <f>A515&amp;"_"&amp;B525</f>
        <v/>
      </c>
      <c r="B525" s="42" t="n">
        <v>9</v>
      </c>
      <c r="C525" s="186" t="n"/>
      <c r="D525" s="186" t="n"/>
      <c r="E525" s="45" t="inlineStr">
        <is>
          <t>– allocated memory</t>
        </is>
      </c>
      <c r="F525" s="53" t="inlineStr">
        <is>
          <t>not applicable</t>
        </is>
      </c>
      <c r="G525" s="55" t="n"/>
      <c r="H525" s="47" t="n"/>
      <c r="I525" s="47" t="n"/>
      <c r="J525" s="49" t="n"/>
      <c r="K525" s="49" t="n"/>
      <c r="L525" s="49" t="n"/>
      <c r="M525" s="49" t="n"/>
    </row>
    <row r="526" outlineLevel="1" ht="28.5" customFormat="1" customHeight="1" s="36">
      <c r="A526" s="37">
        <f>A515&amp;"_"&amp;B526</f>
        <v/>
      </c>
      <c r="B526" s="50" t="n">
        <v>10</v>
      </c>
      <c r="C526" s="187" t="inlineStr">
        <is>
          <t>Components of
identical type</t>
        </is>
      </c>
      <c r="D526" s="187" t="inlineStr">
        <is>
          <t>Identical components may fail with higher probability simultaneously (common mode failures)</t>
        </is>
      </c>
      <c r="E526" s="45" t="inlineStr">
        <is>
          <t>• Reused standard software modules
重复使用的标准软件模块</t>
        </is>
      </c>
      <c r="F526" s="53" t="inlineStr">
        <is>
          <t>not applicable</t>
        </is>
      </c>
      <c r="G526" s="46" t="n"/>
      <c r="H526" s="47" t="n"/>
      <c r="I526" s="47" t="n"/>
      <c r="J526" s="48" t="n"/>
      <c r="K526" s="49" t="n"/>
      <c r="L526" s="49" t="n"/>
      <c r="M526" s="49" t="n"/>
    </row>
    <row r="527" outlineLevel="1" ht="28.5" customFormat="1" customHeight="1" s="36">
      <c r="A527" s="37">
        <f>A515&amp;"_"&amp;B527</f>
        <v/>
      </c>
      <c r="B527" s="42" t="n">
        <v>11</v>
      </c>
      <c r="C527" s="185" t="n"/>
      <c r="D527" s="185" t="n"/>
      <c r="E527" s="45" t="inlineStr">
        <is>
          <t>• Standard library components
标准库组件</t>
        </is>
      </c>
      <c r="F527" s="53" t="inlineStr">
        <is>
          <t>not applicable</t>
        </is>
      </c>
      <c r="G527" s="46" t="n"/>
      <c r="H527" s="47" t="n"/>
      <c r="I527" s="47" t="n"/>
      <c r="J527" s="48" t="n"/>
      <c r="K527" s="49" t="n"/>
      <c r="L527" s="49" t="n"/>
      <c r="M527" s="49" t="n"/>
    </row>
    <row r="528" outlineLevel="1" ht="28.5" customFormat="1" customHeight="1" s="36">
      <c r="A528" s="37">
        <f>A515&amp;"_"&amp;B528</f>
        <v/>
      </c>
      <c r="B528" s="50" t="n">
        <v>12</v>
      </c>
      <c r="C528" s="185" t="n"/>
      <c r="D528" s="185" t="n"/>
      <c r="E528" s="45" t="inlineStr">
        <is>
          <t>• Middleware
中间件</t>
        </is>
      </c>
      <c r="F528" s="53" t="inlineStr">
        <is>
          <t>not applicable</t>
        </is>
      </c>
      <c r="G528" s="55" t="n"/>
      <c r="H528" s="47" t="n"/>
      <c r="I528" s="47" t="n"/>
      <c r="J528" s="49" t="n"/>
      <c r="K528" s="49" t="n"/>
      <c r="L528" s="49" t="n"/>
      <c r="M528" s="49" t="n"/>
    </row>
    <row r="529" outlineLevel="1" ht="28.5" customFormat="1" customHeight="1" s="36">
      <c r="A529" s="37">
        <f>A515&amp;"_"&amp;B529</f>
        <v/>
      </c>
      <c r="B529" s="42" t="n">
        <v>13</v>
      </c>
      <c r="C529" s="185" t="n"/>
      <c r="D529" s="185" t="n"/>
      <c r="E529" s="45" t="inlineStr">
        <is>
          <t>• Operating system
操作系统</t>
        </is>
      </c>
      <c r="F529" s="53" t="inlineStr">
        <is>
          <t>not applicable</t>
        </is>
      </c>
      <c r="G529" s="55" t="n"/>
      <c r="H529" s="47" t="n"/>
      <c r="I529" s="47" t="n"/>
      <c r="J529" s="49" t="n"/>
      <c r="K529" s="49" t="n"/>
      <c r="L529" s="49" t="n"/>
      <c r="M529" s="49" t="n"/>
    </row>
    <row r="530" outlineLevel="1" ht="28.5" customFormat="1" customHeight="1" s="36">
      <c r="A530" s="37">
        <f>A515&amp;"_"&amp;B530</f>
        <v/>
      </c>
      <c r="B530" s="50" t="n">
        <v>14</v>
      </c>
      <c r="C530" s="185" t="n"/>
      <c r="D530" s="185" t="n"/>
      <c r="E530" s="45" t="inlineStr">
        <is>
          <t>• Communication stack
通信栈</t>
        </is>
      </c>
      <c r="F530" s="53" t="inlineStr">
        <is>
          <t>not applicable</t>
        </is>
      </c>
      <c r="G530" s="55" t="n"/>
      <c r="H530" s="47" t="n"/>
      <c r="I530" s="47" t="n"/>
      <c r="J530" s="49" t="n"/>
      <c r="K530" s="49" t="n"/>
      <c r="L530" s="49" t="n"/>
      <c r="M530" s="49" t="n"/>
    </row>
    <row r="531" outlineLevel="1" ht="58" customFormat="1" customHeight="1" s="36">
      <c r="A531" s="37">
        <f>A515&amp;"_"&amp;B531</f>
        <v/>
      </c>
      <c r="B531" s="42" t="n">
        <v>15</v>
      </c>
      <c r="C531" s="186" t="n"/>
      <c r="D531" s="186" t="n"/>
      <c r="E531" s="45" t="inlineStr">
        <is>
          <t xml:space="preserve">
• Parameter set
参数设置
</t>
        </is>
      </c>
      <c r="F531" s="53" t="inlineStr">
        <is>
          <t>not applicable</t>
        </is>
      </c>
      <c r="G531" s="55" t="n"/>
      <c r="H531" s="47" t="n"/>
      <c r="I531" s="47" t="n"/>
      <c r="J531" s="49" t="n"/>
      <c r="K531" s="49" t="n"/>
      <c r="L531" s="49" t="n"/>
      <c r="M531" s="49" t="n"/>
    </row>
    <row r="532" outlineLevel="1" ht="100.5" customFormat="1" customHeight="1" s="36">
      <c r="A532" s="37">
        <f>A515&amp;"_"&amp;B532</f>
        <v/>
      </c>
      <c r="B532" s="50" t="n">
        <v>16</v>
      </c>
      <c r="C532" s="187" t="inlineStr">
        <is>
          <t>Communication
between the two
functions</t>
        </is>
      </c>
      <c r="D532" s="184" t="inlineStr">
        <is>
          <t>Receiving function is affected by information that is false, lost, sent multiple times, or in the wrong order etc. from the sender</t>
        </is>
      </c>
      <c r="E532"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532" s="53" t="inlineStr">
        <is>
          <t>not applicable</t>
        </is>
      </c>
      <c r="G532" s="55" t="n"/>
      <c r="H532" s="47" t="n"/>
      <c r="I532" s="47" t="n"/>
      <c r="J532" s="49" t="n"/>
      <c r="K532" s="49" t="n"/>
      <c r="L532" s="49" t="n"/>
      <c r="M532" s="49" t="n"/>
    </row>
    <row r="533" outlineLevel="1" ht="72.5" customFormat="1" customHeight="1" s="36">
      <c r="A533" s="37">
        <f>A515&amp;"_"&amp;B533</f>
        <v/>
      </c>
      <c r="B533" s="42" t="n">
        <v>17</v>
      </c>
      <c r="C533" s="185" t="n"/>
      <c r="D533" s="185" t="n"/>
      <c r="E533" s="45" t="inlineStr">
        <is>
          <t>• Data or message corruption/ repetition*/ loss*/ delay*/ masquerading or incorrect addressing of information*
数据或信息的损坏/重复/丢失/延迟/伪装或信息的错误标识*</t>
        </is>
      </c>
      <c r="F533" s="53" t="inlineStr">
        <is>
          <t>not applicable</t>
        </is>
      </c>
      <c r="G533" s="55" t="n"/>
      <c r="H533" s="47" t="n"/>
      <c r="I533" s="47" t="n"/>
      <c r="J533" s="49" t="n"/>
      <c r="K533" s="49" t="n"/>
      <c r="L533" s="49" t="n"/>
      <c r="M533" s="49" t="n"/>
    </row>
    <row r="534" outlineLevel="1" ht="49" customFormat="1" customHeight="1" s="36">
      <c r="A534" s="37">
        <f>A515&amp;"_"&amp;B534</f>
        <v/>
      </c>
      <c r="B534" s="50" t="n">
        <v>18</v>
      </c>
      <c r="C534" s="185" t="n"/>
      <c r="D534" s="185" t="n"/>
      <c r="E534" s="45" t="inlineStr">
        <is>
          <t>• Insertion*/ sequence of information*
插入* / 信息序列*</t>
        </is>
      </c>
      <c r="F534" s="53" t="inlineStr">
        <is>
          <t>not applicable</t>
        </is>
      </c>
      <c r="G534" s="55" t="n"/>
      <c r="H534" s="47" t="n"/>
      <c r="I534" s="47" t="n"/>
      <c r="J534" s="49" t="n"/>
      <c r="K534" s="49" t="n"/>
      <c r="L534" s="49" t="n"/>
      <c r="M534" s="49" t="n"/>
    </row>
    <row r="535" outlineLevel="1" ht="48" customFormat="1" customHeight="1" s="36">
      <c r="A535" s="37">
        <f>A515&amp;"_"&amp;B535</f>
        <v/>
      </c>
      <c r="B535" s="42" t="n">
        <v>19</v>
      </c>
      <c r="C535" s="185" t="n"/>
      <c r="D535" s="185" t="n"/>
      <c r="E535" s="45" t="inlineStr">
        <is>
          <t>• Corruption of information*
信息的失真*</t>
        </is>
      </c>
      <c r="F535" s="53" t="inlineStr">
        <is>
          <t>not applicable</t>
        </is>
      </c>
      <c r="G535" s="55" t="n"/>
      <c r="H535" s="47" t="n"/>
      <c r="I535" s="47" t="n"/>
      <c r="J535" s="49" t="n"/>
      <c r="K535" s="49" t="n"/>
      <c r="L535" s="49" t="n"/>
      <c r="M535" s="49" t="n"/>
    </row>
    <row r="536" outlineLevel="1" ht="48" customFormat="1" customHeight="1" s="36">
      <c r="A536" s="37">
        <f>A515&amp;"_"&amp;B536</f>
        <v/>
      </c>
      <c r="B536" s="50" t="n">
        <v>20</v>
      </c>
      <c r="C536" s="185" t="n"/>
      <c r="D536" s="185" t="n"/>
      <c r="E536" s="45" t="inlineStr">
        <is>
          <t>• Asymmetric information sent from a sender to multiple receivers*
从发送者传向多个接收者的不对称信息*</t>
        </is>
      </c>
      <c r="F536" s="53" t="inlineStr">
        <is>
          <t>not applicable</t>
        </is>
      </c>
      <c r="G536" s="55" t="n"/>
      <c r="H536" s="47" t="n"/>
      <c r="I536" s="47" t="n"/>
      <c r="J536" s="49" t="n"/>
      <c r="K536" s="49" t="n"/>
      <c r="L536" s="49" t="n"/>
      <c r="M536" s="49" t="n"/>
    </row>
    <row r="537" outlineLevel="1" ht="48" customFormat="1" customHeight="1" s="36">
      <c r="A537" s="37">
        <f>A515&amp;"_"&amp;B537</f>
        <v/>
      </c>
      <c r="B537" s="42" t="n">
        <v>21</v>
      </c>
      <c r="C537" s="185" t="n"/>
      <c r="D537" s="185" t="n"/>
      <c r="E537" s="45" t="inlineStr">
        <is>
          <t>• Information from a sender received by only a subset of the receivers*
仅部分接收者接收到的来自发送者的信息*</t>
        </is>
      </c>
      <c r="F537" s="53" t="inlineStr">
        <is>
          <t>not applicable</t>
        </is>
      </c>
      <c r="G537" s="55" t="n"/>
      <c r="H537" s="47" t="n"/>
      <c r="I537" s="47" t="n"/>
      <c r="J537" s="49" t="n"/>
      <c r="K537" s="49" t="n"/>
      <c r="L537" s="49" t="n"/>
      <c r="M537" s="49" t="n"/>
    </row>
    <row r="538" outlineLevel="1" ht="43.5" customFormat="1" customHeight="1" s="36">
      <c r="A538" s="37">
        <f>A515&amp;"_"&amp;B538</f>
        <v/>
      </c>
      <c r="B538" s="50" t="n">
        <v>22</v>
      </c>
      <c r="C538" s="186" t="n"/>
      <c r="D538" s="186" t="n"/>
      <c r="E538" s="45" t="inlineStr">
        <is>
          <t>• Blocking access to a communication channel*
阻止对通信通道的访问*</t>
        </is>
      </c>
      <c r="F538" s="53" t="inlineStr">
        <is>
          <t>not applicable</t>
        </is>
      </c>
      <c r="G538" s="46" t="n"/>
      <c r="H538" s="47" t="n"/>
      <c r="I538" s="47" t="n"/>
      <c r="J538" s="48" t="n"/>
      <c r="K538" s="49" t="n"/>
      <c r="L538" s="49" t="n"/>
      <c r="M538" s="49" t="n"/>
    </row>
    <row r="539" outlineLevel="1" ht="45" customFormat="1" customHeight="1" s="36">
      <c r="A539" s="37">
        <f>A515&amp;"_"&amp;B539</f>
        <v/>
      </c>
      <c r="B539" s="42" t="n">
        <v>23</v>
      </c>
      <c r="C539" s="187" t="inlineStr">
        <is>
          <t>Shared information
inputs</t>
        </is>
      </c>
      <c r="D539" s="187" t="inlineStr">
        <is>
          <t>Same information consumed by the two functions even in absence of shared resources, i.e. from a functional perspective</t>
        </is>
      </c>
      <c r="E539" s="45" t="inlineStr">
        <is>
          <t>• Calibration parameters
标准参数</t>
        </is>
      </c>
      <c r="F539" s="53" t="inlineStr">
        <is>
          <t>not applicable</t>
        </is>
      </c>
      <c r="G539" s="55" t="n"/>
      <c r="H539" s="47" t="n"/>
      <c r="I539" s="47" t="n"/>
      <c r="J539" s="49" t="n"/>
      <c r="K539" s="49" t="n"/>
      <c r="L539" s="49" t="n"/>
      <c r="M539" s="49" t="n"/>
    </row>
    <row r="540" outlineLevel="1" ht="57" customFormat="1" customHeight="1" s="36">
      <c r="A540" s="37">
        <f>A515&amp;"_"&amp;B540</f>
        <v/>
      </c>
      <c r="B540" s="50" t="n">
        <v>24</v>
      </c>
      <c r="C540" s="185" t="n"/>
      <c r="D540" s="185" t="n"/>
      <c r="E540" s="45" t="inlineStr">
        <is>
          <t>• Constants, or variables, being global to the two software functions
常量或变量对于这两个软件功能而言是全局性的。</t>
        </is>
      </c>
      <c r="F540" s="53" t="inlineStr">
        <is>
          <t>not applicable</t>
        </is>
      </c>
      <c r="G540" s="55" t="n"/>
      <c r="H540" s="47" t="n"/>
      <c r="I540" s="47" t="n"/>
      <c r="J540" s="49" t="n"/>
      <c r="K540" s="49" t="n"/>
      <c r="L540" s="49" t="n"/>
      <c r="M540" s="49" t="n"/>
    </row>
    <row r="541" outlineLevel="1" ht="100" customFormat="1" customHeight="1" s="36">
      <c r="A541" s="37">
        <f>A515&amp;"_"&amp;B541</f>
        <v/>
      </c>
      <c r="B541" s="42" t="n">
        <v>25</v>
      </c>
      <c r="C541" s="185" t="n"/>
      <c r="D541" s="185" t="n"/>
      <c r="E541" s="45" t="inlineStr">
        <is>
          <t>• Basic software passes data (read from hardware register and converted into logical information) to two application software functions
基础软件会将数据（从硬件寄存器读取并转换为逻辑信息）传递给两个应用程序软件功能。</t>
        </is>
      </c>
      <c r="F541" s="53" t="inlineStr">
        <is>
          <t>not applicable</t>
        </is>
      </c>
      <c r="G541" s="55" t="n"/>
      <c r="H541" s="47" t="n"/>
      <c r="I541" s="47" t="n"/>
      <c r="J541" s="49" t="n"/>
      <c r="K541" s="49" t="n"/>
      <c r="L541" s="49" t="n"/>
      <c r="M541" s="49" t="n"/>
    </row>
    <row r="542" outlineLevel="1" ht="115.5" customFormat="1" customHeight="1" s="36">
      <c r="A542" s="37">
        <f>A515&amp;"_"&amp;B542</f>
        <v/>
      </c>
      <c r="B542" s="50" t="n">
        <v>26</v>
      </c>
      <c r="C542" s="186" t="n"/>
      <c r="D542" s="186" t="n"/>
      <c r="E542"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542" s="53" t="inlineStr">
        <is>
          <t>not applicable</t>
        </is>
      </c>
      <c r="G542" s="55" t="n"/>
      <c r="H542" s="47" t="n"/>
      <c r="I542" s="47" t="n"/>
      <c r="J542" s="49" t="n"/>
      <c r="K542" s="49" t="n"/>
      <c r="L542" s="49" t="n"/>
      <c r="M542" s="49" t="n"/>
    </row>
    <row r="543" outlineLevel="1" ht="68.5" customFormat="1" customHeight="1" s="36">
      <c r="A543" s="37">
        <f>A515&amp;"_"&amp;B543</f>
        <v/>
      </c>
      <c r="B543" s="42" t="n">
        <v>27</v>
      </c>
      <c r="C543" s="187" t="inlineStr">
        <is>
          <t>Environmental
influences</t>
        </is>
      </c>
      <c r="D543" s="184" t="inlineStr">
        <is>
          <t>Common external environmental disturbance affects both functions</t>
        </is>
      </c>
      <c r="E543" s="45" t="inlineStr">
        <is>
          <t xml:space="preserve">System-level: mechanical shock, water ingress
 系统层面：机械震动、进水                                                                                                                                                                </t>
        </is>
      </c>
      <c r="F543" s="53" t="inlineStr">
        <is>
          <t>not applicable</t>
        </is>
      </c>
      <c r="G543" s="55" t="n"/>
      <c r="H543" s="47" t="n"/>
      <c r="I543" s="47" t="n"/>
      <c r="J543" s="49" t="n"/>
      <c r="K543" s="49" t="n"/>
      <c r="L543" s="49" t="n"/>
      <c r="M543" s="49" t="n"/>
    </row>
    <row r="544" outlineLevel="1" ht="28.5" customFormat="1" customHeight="1" s="36">
      <c r="A544" s="37">
        <f>A515&amp;"_"&amp;B544</f>
        <v/>
      </c>
      <c r="B544" s="50" t="n">
        <v>28</v>
      </c>
      <c r="C544" s="185" t="n"/>
      <c r="D544" s="185" t="n"/>
      <c r="E544" s="45" t="inlineStr">
        <is>
          <t>Software-level: not applicable for Software
软件层面：不适用于软件</t>
        </is>
      </c>
      <c r="F544" s="53" t="inlineStr">
        <is>
          <t>not applicable</t>
        </is>
      </c>
      <c r="G544" s="55" t="n"/>
      <c r="H544" s="47" t="n"/>
      <c r="I544" s="47" t="n"/>
      <c r="J544" s="49" t="n"/>
      <c r="K544" s="49" t="n"/>
      <c r="L544" s="49" t="n"/>
      <c r="M544" s="49" t="n"/>
    </row>
    <row r="545" outlineLevel="1" ht="43" customFormat="1" customHeight="1" s="36">
      <c r="A545" s="37">
        <f>A515&amp;"_"&amp;B545</f>
        <v/>
      </c>
      <c r="B545" s="42" t="n">
        <v>29</v>
      </c>
      <c r="C545" s="186" t="n"/>
      <c r="D545" s="186" t="n"/>
      <c r="E545" s="45" t="inlineStr">
        <is>
          <t>Hardware-level: under and over voltage of the power supply        
硬件层面：电源的欠压和过压情况</t>
        </is>
      </c>
      <c r="F545" s="53" t="inlineStr">
        <is>
          <t>not applicable</t>
        </is>
      </c>
      <c r="G545" s="55" t="n"/>
      <c r="H545" s="47" t="n"/>
      <c r="I545" s="47" t="n"/>
      <c r="J545" s="49" t="n"/>
      <c r="K545" s="49" t="n"/>
      <c r="L545" s="49" t="n"/>
      <c r="M545" s="49" t="n"/>
    </row>
    <row r="546" outlineLevel="1" ht="72.5" customFormat="1" customHeight="1" s="36">
      <c r="A546" s="37">
        <f>A515&amp;"_"&amp;B546</f>
        <v/>
      </c>
      <c r="B546" s="50" t="n">
        <v>30</v>
      </c>
      <c r="C546" s="187" t="inlineStr">
        <is>
          <t>Unintended impact</t>
        </is>
      </c>
      <c r="D546" s="187" t="inlineStr">
        <is>
          <t>Two functions affecting each other’s elements directly via an implicit, that is unintended interface.</t>
        </is>
      </c>
      <c r="E546" s="45" t="inlineStr">
        <is>
          <t>• Memory / corruption of content*
– “wild pointers“ (including program counter stack)
内存/内容损坏*
——“失控指针”（包括程序计数器栈</t>
        </is>
      </c>
      <c r="F546" s="45" t="inlineStr">
        <is>
          <t xml:space="preserve">Yes </t>
        </is>
      </c>
      <c r="G546" s="46" t="inlineStr">
        <is>
          <t>不违背安全目标</t>
        </is>
      </c>
      <c r="H546" s="47" t="inlineStr">
        <is>
          <t>1：支持硬线制动灯点亮</t>
        </is>
      </c>
      <c r="I546" s="47" t="inlineStr">
        <is>
          <t>SW_DFA_SM_001</t>
        </is>
      </c>
      <c r="J546" s="48" t="inlineStr">
        <is>
          <t>通过集成测试</t>
        </is>
      </c>
      <c r="K546" s="49" t="inlineStr">
        <is>
          <t>满足ASILB开发和测试</t>
        </is>
      </c>
      <c r="L546" s="49" t="n"/>
      <c r="M546" s="49" t="n"/>
    </row>
    <row r="547" outlineLevel="1" ht="29" customFormat="1" customHeight="1" s="36">
      <c r="A547" s="37">
        <f>A515&amp;"_"&amp;B547</f>
        <v/>
      </c>
      <c r="B547" s="42" t="n">
        <v>31</v>
      </c>
      <c r="C547" s="185" t="n"/>
      <c r="D547" s="185" t="n"/>
      <c r="E547" s="45" t="inlineStr">
        <is>
          <t>– memory mis-allocation
——内存分配错误</t>
        </is>
      </c>
      <c r="F547" s="45" t="inlineStr">
        <is>
          <t xml:space="preserve">Yes </t>
        </is>
      </c>
      <c r="G547" s="46" t="inlineStr">
        <is>
          <t>不违背安全目标</t>
        </is>
      </c>
      <c r="H547" s="47" t="inlineStr">
        <is>
          <t>1：支持硬线制动灯点亮</t>
        </is>
      </c>
      <c r="I547" s="47" t="inlineStr">
        <is>
          <t>SW_DFA_SM_001</t>
        </is>
      </c>
      <c r="J547" s="48" t="inlineStr">
        <is>
          <t>通过集成测试</t>
        </is>
      </c>
      <c r="K547" s="49" t="inlineStr">
        <is>
          <t>满足ASILB开发和测试</t>
        </is>
      </c>
      <c r="L547" s="49" t="n"/>
      <c r="M547" s="49" t="n"/>
    </row>
    <row r="548" outlineLevel="1" ht="28.5" customFormat="1" customHeight="1" s="36">
      <c r="A548" s="37">
        <f>A515&amp;"_"&amp;B548</f>
        <v/>
      </c>
      <c r="B548" s="50" t="n">
        <v>32</v>
      </c>
      <c r="C548" s="185" t="n"/>
      <c r="D548" s="185" t="n"/>
      <c r="E548" s="45" t="inlineStr">
        <is>
          <t>– memory leaks
内存泄漏</t>
        </is>
      </c>
      <c r="F548" s="45" t="inlineStr">
        <is>
          <t xml:space="preserve">Yes </t>
        </is>
      </c>
      <c r="G548" s="46" t="inlineStr">
        <is>
          <t>不违背安全目标</t>
        </is>
      </c>
      <c r="H548" s="47" t="inlineStr">
        <is>
          <t>1：支持硬线制动灯点亮</t>
        </is>
      </c>
      <c r="I548" s="47" t="inlineStr">
        <is>
          <t>SW_DFA_SM_001</t>
        </is>
      </c>
      <c r="J548" s="48" t="inlineStr">
        <is>
          <t>通过集成测试</t>
        </is>
      </c>
      <c r="K548" s="49" t="inlineStr">
        <is>
          <t>满足ASILB开发和测试</t>
        </is>
      </c>
      <c r="L548" s="49" t="n"/>
      <c r="M548" s="49" t="n"/>
    </row>
    <row r="549" outlineLevel="1" ht="58" customFormat="1" customHeight="1" s="36">
      <c r="A549" s="37">
        <f>A515&amp;"_"&amp;B549</f>
        <v/>
      </c>
      <c r="B549" s="42" t="n">
        <v>33</v>
      </c>
      <c r="C549" s="185" t="n"/>
      <c r="D549" s="185" t="n"/>
      <c r="E549" s="45" t="inlineStr">
        <is>
          <t>– read/write access to memory allocated to another software element*
—— 对分配给其他软件组件的内存的读/写访问权限*</t>
        </is>
      </c>
      <c r="F549" s="53" t="inlineStr">
        <is>
          <t>not applicable</t>
        </is>
      </c>
      <c r="G549" s="55" t="n"/>
      <c r="H549" s="47" t="n"/>
      <c r="I549" s="47" t="n"/>
      <c r="J549" s="49" t="n"/>
      <c r="K549" s="49" t="n"/>
      <c r="L549" s="49" t="n"/>
      <c r="M549" s="49" t="n"/>
    </row>
    <row r="550" outlineLevel="1" ht="29" customFormat="1" customHeight="1" s="36">
      <c r="A550" s="37">
        <f>A515&amp;"_"&amp;B550</f>
        <v/>
      </c>
      <c r="B550" s="50" t="n">
        <v>34</v>
      </c>
      <c r="C550" s="185" t="n"/>
      <c r="D550" s="185" t="n"/>
      <c r="E550" s="45" t="inlineStr">
        <is>
          <t>– buffer under-/overflow
– 缓冲区下溢/上溢</t>
        </is>
      </c>
      <c r="F550" s="53" t="inlineStr">
        <is>
          <t>not applicable</t>
        </is>
      </c>
      <c r="G550" s="55" t="n"/>
      <c r="H550" s="47" t="n"/>
      <c r="I550" s="47" t="n"/>
      <c r="J550" s="49" t="n"/>
      <c r="K550" s="49" t="n"/>
      <c r="L550" s="49" t="n"/>
      <c r="M550" s="49" t="n"/>
    </row>
    <row r="551" outlineLevel="1" ht="57.5" customFormat="1" customHeight="1" s="36">
      <c r="A551" s="37">
        <f>A515&amp;"_"&amp;B551</f>
        <v/>
      </c>
      <c r="B551" s="42" t="n">
        <v>35</v>
      </c>
      <c r="C551" s="185" t="n"/>
      <c r="D551" s="185" t="n"/>
      <c r="E551" s="45" t="inlineStr">
        <is>
          <t>• Timing and execution
– deadlocks*
时机与执行
——死锁*</t>
        </is>
      </c>
      <c r="F551" s="53" t="inlineStr">
        <is>
          <t>not applicable</t>
        </is>
      </c>
      <c r="G551" s="55" t="n"/>
      <c r="H551" s="47" t="n"/>
      <c r="I551" s="47" t="n"/>
      <c r="J551" s="49" t="n"/>
      <c r="K551" s="49" t="n"/>
      <c r="L551" s="49" t="n"/>
      <c r="M551" s="49" t="n"/>
    </row>
    <row r="552" outlineLevel="1" ht="28.5" customFormat="1" customHeight="1" s="36">
      <c r="A552" s="37">
        <f>A515&amp;"_"&amp;B552</f>
        <v/>
      </c>
      <c r="B552" s="50" t="n">
        <v>36</v>
      </c>
      <c r="C552" s="185" t="n"/>
      <c r="D552" s="185" t="n"/>
      <c r="E552" s="45" t="inlineStr">
        <is>
          <t>– livelocks*
活锁</t>
        </is>
      </c>
      <c r="F552" s="53" t="inlineStr">
        <is>
          <t>not applicable</t>
        </is>
      </c>
      <c r="G552" s="55" t="n"/>
      <c r="H552" s="47" t="n"/>
      <c r="I552" s="47" t="n"/>
      <c r="J552" s="49" t="n"/>
      <c r="K552" s="49" t="n"/>
      <c r="L552" s="49" t="n"/>
      <c r="M552" s="49" t="n"/>
    </row>
    <row r="553" outlineLevel="1" ht="29" customFormat="1" customHeight="1" s="36">
      <c r="A553" s="37">
        <f>A515&amp;"_"&amp;B553</f>
        <v/>
      </c>
      <c r="B553" s="42" t="n">
        <v>37</v>
      </c>
      <c r="C553" s="185" t="n"/>
      <c r="D553" s="185" t="n"/>
      <c r="E553" s="45" t="inlineStr">
        <is>
          <t>– incorrect allocation of execution time*
——执行时间分配不当*</t>
        </is>
      </c>
      <c r="F553" s="53" t="inlineStr">
        <is>
          <t>not applicable</t>
        </is>
      </c>
      <c r="G553" s="55" t="n"/>
      <c r="H553" s="47" t="n"/>
      <c r="I553" s="47" t="n"/>
      <c r="J553" s="49" t="n"/>
      <c r="K553" s="49" t="n"/>
      <c r="L553" s="49" t="n"/>
      <c r="M553" s="49" t="n"/>
    </row>
    <row r="554" outlineLevel="1" ht="43.5" customFormat="1" customHeight="1" s="36">
      <c r="A554" s="37">
        <f>A515&amp;"_"&amp;B554</f>
        <v/>
      </c>
      <c r="B554" s="50" t="n">
        <v>38</v>
      </c>
      <c r="C554" s="186" t="n"/>
      <c r="D554" s="186" t="n"/>
      <c r="E554" s="45" t="inlineStr">
        <is>
          <t>– incorrect synchronization between software elements*
——软件各组成部分之间的同步不正确*</t>
        </is>
      </c>
      <c r="F554" s="53" t="inlineStr">
        <is>
          <t>not applicable</t>
        </is>
      </c>
      <c r="G554" s="46" t="n"/>
      <c r="H554" s="47" t="n"/>
      <c r="I554" s="47" t="n"/>
      <c r="J554" s="48" t="n"/>
      <c r="K554" s="49" t="n"/>
      <c r="L554" s="49" t="n"/>
      <c r="M554" s="49" t="n"/>
    </row>
    <row r="555" outlineLevel="1" ht="72" customFormat="1" customHeight="1" s="36">
      <c r="A555" s="37">
        <f>A515&amp;"_"&amp;B555</f>
        <v/>
      </c>
      <c r="B555" s="42" t="n">
        <v>39</v>
      </c>
      <c r="C555" s="187" t="inlineStr">
        <is>
          <t>Systematic coupling</t>
        </is>
      </c>
      <c r="D555" s="187" t="inlineStr">
        <is>
          <t>Systematic causes from human or tool errors can lead to the simultaneous failure of more than one function</t>
        </is>
      </c>
      <c r="E555" s="45" t="inlineStr">
        <is>
          <t>• Manufacturing fault / repair fault (e.g. false flashing, false calibration reference for sensors)
制造故障/维修故障（例如：错误的闪烁现象、传感器的错误校准参考值）</t>
        </is>
      </c>
      <c r="F555" s="53" t="inlineStr">
        <is>
          <t>not applicable</t>
        </is>
      </c>
      <c r="G555" s="55" t="n"/>
      <c r="H555" s="47" t="n"/>
      <c r="I555" s="47" t="n"/>
      <c r="J555" s="49" t="n"/>
      <c r="K555" s="49" t="n"/>
      <c r="L555" s="49" t="n"/>
      <c r="M555" s="49" t="n"/>
    </row>
    <row r="556" outlineLevel="1" ht="115.5" customFormat="1" customHeight="1" s="36">
      <c r="A556" s="37">
        <f>A515&amp;"_"&amp;B556</f>
        <v/>
      </c>
      <c r="B556" s="50" t="n">
        <v>40</v>
      </c>
      <c r="C556" s="185" t="n"/>
      <c r="D556" s="185" t="n"/>
      <c r="E556" s="61" t="inlineStr">
        <is>
          <t xml:space="preserve">• Non-diverse development approaches including:
– same software tools (e.g. IDE, compiler, linker)
非多元化的发展方式包括：
——相同的软件工具（例如集成开发环境、编译器、链接器）
</t>
        </is>
      </c>
      <c r="F556" s="45" t="inlineStr">
        <is>
          <t xml:space="preserve">Yes </t>
        </is>
      </c>
      <c r="G556" s="62" t="inlineStr">
        <is>
          <t>代码异常导致的违背安全目标</t>
        </is>
      </c>
      <c r="H556" s="63" t="inlineStr">
        <is>
          <t>工具鉴定</t>
        </is>
      </c>
      <c r="I556" s="63" t="n"/>
      <c r="J556" s="49" t="inlineStr">
        <is>
          <t>通过集成测试</t>
        </is>
      </c>
      <c r="K556" s="68" t="inlineStr">
        <is>
          <t>满足ASILB开发和测试</t>
        </is>
      </c>
      <c r="L556" s="68" t="n"/>
      <c r="M556" s="49" t="n"/>
    </row>
    <row r="557" outlineLevel="1" ht="28.5" customFormat="1" customHeight="1" s="36">
      <c r="A557" s="37">
        <f>A515&amp;"_"&amp;B557</f>
        <v/>
      </c>
      <c r="B557" s="42" t="n">
        <v>41</v>
      </c>
      <c r="C557" s="185" t="n"/>
      <c r="D557" s="185" t="n"/>
      <c r="E557" s="61" t="inlineStr">
        <is>
          <t>– same algorithms
相同的算法</t>
        </is>
      </c>
      <c r="F557" s="53" t="inlineStr">
        <is>
          <t>not applicable</t>
        </is>
      </c>
      <c r="G557" s="55" t="n"/>
      <c r="H557" s="47" t="n"/>
      <c r="I557" s="47" t="n"/>
      <c r="J557" s="49" t="n"/>
      <c r="K557" s="49" t="n"/>
      <c r="L557" s="49" t="n"/>
      <c r="M557" s="49" t="n"/>
    </row>
    <row r="558" outlineLevel="1" ht="43.5" customFormat="1" customHeight="1" s="36">
      <c r="A558" s="37">
        <f>A515&amp;"_"&amp;B558</f>
        <v/>
      </c>
      <c r="B558" s="50" t="n">
        <v>42</v>
      </c>
      <c r="C558" s="185" t="n"/>
      <c r="D558" s="185" t="n"/>
      <c r="E558" s="61" t="inlineStr">
        <is>
          <t>– same programming and/or modelling language used
所使用的编程和/或建模语言相同</t>
        </is>
      </c>
      <c r="F558" s="45" t="inlineStr">
        <is>
          <t xml:space="preserve">Yes </t>
        </is>
      </c>
      <c r="G558" s="62" t="inlineStr">
        <is>
          <t>代码异常导致的违背安全目标</t>
        </is>
      </c>
      <c r="H558" s="63" t="inlineStr">
        <is>
          <t>工具鉴定</t>
        </is>
      </c>
      <c r="I558" s="47" t="n"/>
      <c r="J558" s="49" t="inlineStr">
        <is>
          <t>通过集成测试</t>
        </is>
      </c>
      <c r="K558" s="49" t="inlineStr">
        <is>
          <t>满足ASILB开发和测试</t>
        </is>
      </c>
      <c r="L558" s="49" t="n"/>
      <c r="M558" s="49" t="n"/>
    </row>
    <row r="559" outlineLevel="1" ht="29" customFormat="1" customHeight="1" s="36">
      <c r="A559" s="37">
        <f>A515&amp;"_"&amp;B559</f>
        <v/>
      </c>
      <c r="B559" s="42" t="n">
        <v>43</v>
      </c>
      <c r="C559" s="185" t="n"/>
      <c r="D559" s="185" t="n"/>
      <c r="E559" s="61" t="inlineStr">
        <is>
          <t>– same complier/linker used
使用的是相同的编译器/链接器</t>
        </is>
      </c>
      <c r="F559" s="45" t="inlineStr">
        <is>
          <t xml:space="preserve">Yes </t>
        </is>
      </c>
      <c r="G559" s="62" t="inlineStr">
        <is>
          <t>代码异常导致的违背安全目标</t>
        </is>
      </c>
      <c r="H559" s="63" t="inlineStr">
        <is>
          <t>工具鉴定</t>
        </is>
      </c>
      <c r="I559" s="47" t="n"/>
      <c r="J559" s="49" t="inlineStr">
        <is>
          <t>通过集成测试</t>
        </is>
      </c>
      <c r="K559" s="49" t="inlineStr">
        <is>
          <t>满足ASILB开发和测试</t>
        </is>
      </c>
      <c r="L559" s="49" t="n"/>
      <c r="M559" s="49" t="n"/>
    </row>
    <row r="560" outlineLevel="1" ht="28.5" customFormat="1" customHeight="1" s="36">
      <c r="A560" s="37">
        <f>A515&amp;"_"&amp;B560</f>
        <v/>
      </c>
      <c r="B560" s="50" t="n">
        <v>44</v>
      </c>
      <c r="C560" s="185" t="n"/>
      <c r="D560" s="185" t="n"/>
      <c r="E560" s="45" t="inlineStr">
        <is>
          <t>• Same personnel
相同人员</t>
        </is>
      </c>
      <c r="F560" s="53" t="inlineStr">
        <is>
          <t>not applicable</t>
        </is>
      </c>
      <c r="G560" s="55" t="n"/>
      <c r="H560" s="47" t="n"/>
      <c r="I560" s="47" t="n"/>
      <c r="J560" s="49" t="n"/>
      <c r="K560" s="49" t="n"/>
      <c r="L560" s="49" t="n"/>
      <c r="M560" s="49" t="n"/>
    </row>
    <row r="561" outlineLevel="1" ht="57" customFormat="1" customHeight="1" s="36">
      <c r="A561" s="37">
        <f>A515&amp;"_"&amp;B561</f>
        <v/>
      </c>
      <c r="B561" s="42" t="n">
        <v>45</v>
      </c>
      <c r="C561" s="185" t="n"/>
      <c r="D561" s="185" t="n"/>
      <c r="E561" s="45" t="inlineStr">
        <is>
          <t>• Same social-cultural context (even if different personnel)
相同的社会文化背景（即便人员有所不同）</t>
        </is>
      </c>
      <c r="F561" s="53" t="inlineStr">
        <is>
          <t>not applicable</t>
        </is>
      </c>
      <c r="G561" s="55" t="n"/>
      <c r="H561" s="47" t="n"/>
      <c r="I561" s="47" t="n"/>
      <c r="J561" s="49" t="n"/>
      <c r="K561" s="49" t="n"/>
      <c r="L561" s="49" t="n"/>
      <c r="M561" s="49" t="n"/>
    </row>
    <row r="562" outlineLevel="1" ht="57.5" customFormat="1" customHeight="1" s="36">
      <c r="A562" s="37">
        <f>A515&amp;"_"&amp;B562</f>
        <v/>
      </c>
      <c r="B562" s="50" t="n">
        <v>46</v>
      </c>
      <c r="C562" s="185" t="n"/>
      <c r="D562" s="185" t="n"/>
      <c r="E562" s="45" t="inlineStr">
        <is>
          <t>• Development fault, e.g.
– human error
开发失误，例如：
– 人为错误</t>
        </is>
      </c>
      <c r="F562" s="53" t="inlineStr">
        <is>
          <t>not applicable</t>
        </is>
      </c>
      <c r="G562" s="55" t="n"/>
      <c r="H562" s="47" t="n"/>
      <c r="I562" s="47" t="n"/>
      <c r="J562" s="49" t="n"/>
      <c r="K562" s="49" t="n"/>
      <c r="L562" s="49" t="n"/>
      <c r="M562" s="49" t="n"/>
    </row>
    <row r="563" outlineLevel="1" ht="28.5" customFormat="1" customHeight="1" s="36">
      <c r="A563" s="37">
        <f>A515&amp;"_"&amp;B563</f>
        <v/>
      </c>
      <c r="B563" s="42" t="n">
        <v>47</v>
      </c>
      <c r="C563" s="185" t="n"/>
      <c r="D563" s="185" t="n"/>
      <c r="E563" s="45" t="inlineStr">
        <is>
          <t>– insufficiently qualified personnel
资质不足的人员</t>
        </is>
      </c>
      <c r="F563" s="53" t="inlineStr">
        <is>
          <t>not applicable</t>
        </is>
      </c>
      <c r="G563" s="55" t="n"/>
      <c r="H563" s="47" t="n"/>
      <c r="I563" s="47" t="n"/>
      <c r="J563" s="49" t="n"/>
      <c r="K563" s="49" t="n"/>
      <c r="L563" s="49" t="n"/>
      <c r="M563" s="49" t="n"/>
    </row>
    <row r="564" outlineLevel="1" ht="28.5" customFormat="1" customHeight="1" s="36">
      <c r="A564" s="37">
        <f>A515&amp;"_"&amp;B564</f>
        <v/>
      </c>
      <c r="B564" s="50" t="n">
        <v>48</v>
      </c>
      <c r="C564" s="185" t="n"/>
      <c r="D564" s="185" t="n"/>
      <c r="E564" s="45" t="inlineStr">
        <is>
          <t>– process weaknesses
处理弱点</t>
        </is>
      </c>
      <c r="F564" s="53" t="inlineStr">
        <is>
          <t>not applicable</t>
        </is>
      </c>
      <c r="G564" s="55" t="n"/>
      <c r="H564" s="47" t="n"/>
      <c r="I564" s="47" t="n"/>
      <c r="J564" s="49" t="n"/>
      <c r="K564" s="49" t="n"/>
      <c r="L564" s="49" t="n"/>
      <c r="M564" s="49" t="n"/>
    </row>
    <row r="565" outlineLevel="1" ht="26" customFormat="1" customHeight="1" s="36">
      <c r="A565" s="37">
        <f>A515&amp;"_"&amp;B565</f>
        <v/>
      </c>
      <c r="B565" s="42" t="n">
        <v>49</v>
      </c>
      <c r="C565" s="186" t="n"/>
      <c r="D565" s="186" t="n"/>
      <c r="E565" s="45" t="inlineStr">
        <is>
          <t>– insufficient methods方法不足</t>
        </is>
      </c>
      <c r="F565" s="53" t="inlineStr">
        <is>
          <t>not applicable</t>
        </is>
      </c>
      <c r="G565" s="55" t="n"/>
      <c r="H565" s="47" t="n"/>
      <c r="I565" s="47" t="n"/>
      <c r="J565" s="49" t="n"/>
      <c r="K565" s="49" t="n"/>
      <c r="L565" s="49" t="n"/>
      <c r="M565" s="49" t="n"/>
    </row>
    <row r="566" ht="75" customFormat="1" customHeight="1" s="36">
      <c r="A566" s="67">
        <f>'Top Event'!B15</f>
        <v/>
      </c>
      <c r="B566" s="67" t="n"/>
      <c r="C566" s="67">
        <f>'Top Event'!C15</f>
        <v/>
      </c>
      <c r="D566" s="69">
        <f>'Top Event'!D15</f>
        <v/>
      </c>
      <c r="E566" s="67">
        <f>'Top Event'!E15</f>
        <v/>
      </c>
      <c r="F566" s="66" t="n"/>
      <c r="G566" s="66" t="n"/>
      <c r="H566" s="64" t="n"/>
      <c r="I566" s="64" t="n"/>
      <c r="J566" s="36" t="n"/>
      <c r="K566" s="36" t="n"/>
      <c r="L566" s="36" t="n"/>
      <c r="M566" s="36" t="n"/>
    </row>
    <row r="567" ht="37.25" customFormat="1" customHeight="1" s="36">
      <c r="A567" s="37" t="n"/>
      <c r="B567" s="37" t="n"/>
      <c r="C567" s="38" t="inlineStr">
        <is>
          <t>DF-I Category</t>
        </is>
      </c>
      <c r="D567" s="38" t="inlineStr">
        <is>
          <t>Interpretation</t>
        </is>
      </c>
      <c r="E567" s="38" t="inlineStr">
        <is>
          <t>DF-Initiator Examples</t>
        </is>
      </c>
      <c r="F567" s="38" t="inlineStr">
        <is>
          <t>Applicable?</t>
        </is>
      </c>
      <c r="G567" s="38" t="inlineStr">
        <is>
          <t>safety  goal related</t>
        </is>
      </c>
      <c r="H567" s="39" t="inlineStr">
        <is>
          <t>Counter Measure</t>
        </is>
      </c>
      <c r="I567" s="39" t="inlineStr">
        <is>
          <t>Counter Measure ID</t>
        </is>
      </c>
      <c r="J567" s="38" t="inlineStr">
        <is>
          <t>Evidence</t>
        </is>
      </c>
      <c r="K567" s="38" t="inlineStr">
        <is>
          <t>sufficient?</t>
        </is>
      </c>
      <c r="L567" s="38" t="n"/>
      <c r="M567" s="41" t="inlineStr">
        <is>
          <t>Comment</t>
        </is>
      </c>
    </row>
    <row r="568" outlineLevel="1" ht="86" customFormat="1" customHeight="1" s="36">
      <c r="A568" s="37">
        <f>A566&amp;"_"&amp;B568</f>
        <v/>
      </c>
      <c r="B568" s="42" t="n">
        <v>1</v>
      </c>
      <c r="C568" s="183" t="inlineStr">
        <is>
          <t>Shared resource</t>
        </is>
      </c>
      <c r="D568" s="184" t="inlineStr">
        <is>
          <t>The same software, hardware, or system element instance used by the two elements which are therefore affected by the failure or unavailability of that shared resource, i.e. from a physical perspective.</t>
        </is>
      </c>
      <c r="E568" s="45" t="inlineStr">
        <is>
          <t>Software component used by more than one other software component, e.g.
– reused standard software modules
被多个其他软件组件所使用的软件组件，例如：
– 重复使用的标准软件模块</t>
        </is>
      </c>
      <c r="F568" s="45" t="inlineStr">
        <is>
          <t xml:space="preserve">Yes </t>
        </is>
      </c>
      <c r="G568" s="46" t="inlineStr">
        <is>
          <t>BCC模块失效后可能导致报文校验异常造成位置制动控制模块，转向灯控制模块，倒车灯控制模块，牌照灯控制模块无法接收CAN指令执行功能输出，违背安全目标SG01,SG02,SG03</t>
        </is>
      </c>
      <c r="H568" s="47" t="inlineStr">
        <is>
          <t xml:space="preserve">1：支持硬线制动灯点亮：
</t>
        </is>
      </c>
      <c r="I568" s="47" t="inlineStr">
        <is>
          <t>SW_DFA_SM_001</t>
        </is>
      </c>
      <c r="J568" s="48" t="inlineStr">
        <is>
          <t>通过集成测试</t>
        </is>
      </c>
      <c r="K568" s="49" t="inlineStr">
        <is>
          <t>满足ASILB开发和测试</t>
        </is>
      </c>
      <c r="L568" s="49" t="n"/>
      <c r="M568" s="49" t="n"/>
    </row>
    <row r="569" outlineLevel="1" ht="28.5" customFormat="1" customHeight="1" s="36">
      <c r="A569" s="37">
        <f>A566&amp;"_"&amp;B569</f>
        <v/>
      </c>
      <c r="B569" s="50" t="n">
        <v>2</v>
      </c>
      <c r="C569" s="185" t="n"/>
      <c r="D569" s="185" t="n"/>
      <c r="E569" s="45" t="inlineStr">
        <is>
          <t>– libraries
库</t>
        </is>
      </c>
      <c r="F569" s="53" t="inlineStr">
        <is>
          <t>not applicable</t>
        </is>
      </c>
      <c r="G569" s="55" t="n"/>
      <c r="H569" s="47" t="n"/>
      <c r="I569" s="47" t="n"/>
      <c r="J569" s="49" t="n"/>
      <c r="K569" s="49" t="n"/>
      <c r="L569" s="49" t="n"/>
      <c r="M569" s="49" t="n"/>
    </row>
    <row r="570" outlineLevel="1" ht="28.5" customFormat="1" customHeight="1" s="36">
      <c r="A570" s="37">
        <f>A566&amp;"_"&amp;B570</f>
        <v/>
      </c>
      <c r="B570" s="42" t="n">
        <v>3</v>
      </c>
      <c r="C570" s="185" t="n"/>
      <c r="D570" s="185" t="n"/>
      <c r="E570" s="45" t="inlineStr">
        <is>
          <t>– middleware
中间件</t>
        </is>
      </c>
      <c r="F570" s="53" t="inlineStr">
        <is>
          <t>not applicable</t>
        </is>
      </c>
      <c r="G570" s="55" t="n"/>
      <c r="H570" s="47" t="n"/>
      <c r="I570" s="47" t="n"/>
      <c r="J570" s="49" t="n"/>
      <c r="K570" s="49" t="n"/>
      <c r="L570" s="49" t="n"/>
      <c r="M570" s="49" t="n"/>
    </row>
    <row r="571" outlineLevel="1" ht="28.5" customFormat="1" customHeight="1" s="36">
      <c r="A571" s="37">
        <f>A566&amp;"_"&amp;B571</f>
        <v/>
      </c>
      <c r="B571" s="50" t="n">
        <v>4</v>
      </c>
      <c r="C571" s="185" t="n"/>
      <c r="D571" s="185" t="n"/>
      <c r="E571" s="45" t="inlineStr">
        <is>
          <t>– basic software
基本软件</t>
        </is>
      </c>
      <c r="F571" s="53" t="inlineStr">
        <is>
          <t>not applicable</t>
        </is>
      </c>
      <c r="G571" s="46" t="n"/>
      <c r="H571" s="47" t="n"/>
      <c r="I571" s="47" t="n"/>
      <c r="J571" s="48" t="n"/>
      <c r="K571" s="49" t="n"/>
      <c r="L571" s="49" t="n"/>
      <c r="M571" s="49" t="n"/>
    </row>
    <row r="572" outlineLevel="1" ht="43.5" customFormat="1" customHeight="1" s="36">
      <c r="A572" s="37">
        <f>A566&amp;"_"&amp;B572</f>
        <v/>
      </c>
      <c r="B572" s="42" t="n">
        <v>5</v>
      </c>
      <c r="C572" s="185" t="n"/>
      <c r="D572" s="185" t="n"/>
      <c r="E572" s="45" t="inlineStr">
        <is>
          <t xml:space="preserve">– operating system including scheduler
——包含调度器的操作系统
</t>
        </is>
      </c>
      <c r="F572" s="53" t="inlineStr">
        <is>
          <t>not applicable</t>
        </is>
      </c>
      <c r="G572" s="55" t="n"/>
      <c r="H572" s="47" t="n"/>
      <c r="I572" s="47" t="n"/>
      <c r="J572" s="49" t="n"/>
      <c r="K572" s="49" t="n"/>
      <c r="L572" s="49" t="n"/>
      <c r="M572" s="49" t="n"/>
    </row>
    <row r="573" outlineLevel="1" ht="28.5" customFormat="1" customHeight="1" s="36">
      <c r="A573" s="37">
        <f>A566&amp;"_"&amp;B573</f>
        <v/>
      </c>
      <c r="B573" s="50" t="n">
        <v>6</v>
      </c>
      <c r="C573" s="185" t="n"/>
      <c r="D573" s="185" t="n"/>
      <c r="E573" s="45" t="inlineStr">
        <is>
          <t>– communication stack
通信协议栈</t>
        </is>
      </c>
      <c r="F573" s="53" t="inlineStr">
        <is>
          <t>not applicable</t>
        </is>
      </c>
      <c r="G573" s="46" t="n"/>
      <c r="H573" s="47" t="n"/>
      <c r="I573" s="47" t="n"/>
      <c r="J573" s="48" t="n"/>
      <c r="K573" s="49" t="n"/>
      <c r="L573" s="49" t="n"/>
      <c r="M573" s="49" t="n"/>
    </row>
    <row r="574" outlineLevel="1" ht="29" customFormat="1" customHeight="1" s="36">
      <c r="A574" s="37">
        <f>A566&amp;"_"&amp;B574</f>
        <v/>
      </c>
      <c r="B574" s="42" t="n">
        <v>7</v>
      </c>
      <c r="C574" s="185" t="n"/>
      <c r="D574" s="185" t="n"/>
      <c r="E574" s="45" t="inlineStr">
        <is>
          <t xml:space="preserve">– parameter file参数文件
</t>
        </is>
      </c>
      <c r="F574" s="53" t="inlineStr">
        <is>
          <t>not applicable</t>
        </is>
      </c>
      <c r="G574" s="55" t="n"/>
      <c r="H574" s="47" t="n"/>
      <c r="I574" s="47" t="n"/>
      <c r="J574" s="49" t="n"/>
      <c r="K574" s="49" t="n"/>
      <c r="L574" s="49" t="n"/>
      <c r="M574" s="49" t="n"/>
    </row>
    <row r="575" outlineLevel="1" ht="28.5" customFormat="1" customHeight="1" s="36">
      <c r="A575" s="37">
        <f>A566&amp;"_"&amp;B575</f>
        <v/>
      </c>
      <c r="B575" s="50" t="n">
        <v>8</v>
      </c>
      <c r="C575" s="185" t="n"/>
      <c r="D575" s="185" t="n"/>
      <c r="E575" s="45" t="inlineStr">
        <is>
          <t>– execution time
执行时间</t>
        </is>
      </c>
      <c r="F575" s="53" t="inlineStr">
        <is>
          <t>not applicable</t>
        </is>
      </c>
      <c r="G575" s="55" t="n"/>
      <c r="H575" s="47" t="n"/>
      <c r="I575" s="47" t="n"/>
      <c r="J575" s="49" t="n"/>
      <c r="K575" s="49" t="n"/>
      <c r="L575" s="49" t="n"/>
      <c r="M575" s="49" t="n"/>
    </row>
    <row r="576" outlineLevel="1" ht="26" customFormat="1" customHeight="1" s="36">
      <c r="A576" s="37">
        <f>A566&amp;"_"&amp;B576</f>
        <v/>
      </c>
      <c r="B576" s="42" t="n">
        <v>9</v>
      </c>
      <c r="C576" s="186" t="n"/>
      <c r="D576" s="186" t="n"/>
      <c r="E576" s="45" t="inlineStr">
        <is>
          <t>– allocated memory</t>
        </is>
      </c>
      <c r="F576" s="53" t="inlineStr">
        <is>
          <t>not applicable</t>
        </is>
      </c>
      <c r="G576" s="55" t="n"/>
      <c r="H576" s="47" t="n"/>
      <c r="I576" s="47" t="n"/>
      <c r="J576" s="49" t="n"/>
      <c r="K576" s="49" t="n"/>
      <c r="L576" s="49" t="n"/>
      <c r="M576" s="49" t="n"/>
    </row>
    <row r="577" outlineLevel="1" ht="28.5" customFormat="1" customHeight="1" s="36">
      <c r="A577" s="37">
        <f>A566&amp;"_"&amp;B577</f>
        <v/>
      </c>
      <c r="B577" s="50" t="n">
        <v>10</v>
      </c>
      <c r="C577" s="187" t="inlineStr">
        <is>
          <t>Components of
identical type</t>
        </is>
      </c>
      <c r="D577" s="187" t="inlineStr">
        <is>
          <t>Identical components may fail with higher probability simultaneously (common mode failures)</t>
        </is>
      </c>
      <c r="E577" s="45" t="inlineStr">
        <is>
          <t>• Reused standard software modules
重复使用的标准软件模块</t>
        </is>
      </c>
      <c r="F577" s="53" t="inlineStr">
        <is>
          <t>not applicable</t>
        </is>
      </c>
      <c r="G577" s="46" t="n"/>
      <c r="H577" s="47" t="n"/>
      <c r="I577" s="47" t="n"/>
      <c r="J577" s="48" t="n"/>
      <c r="K577" s="49" t="n"/>
      <c r="L577" s="49" t="n"/>
      <c r="M577" s="49" t="n"/>
    </row>
    <row r="578" outlineLevel="1" ht="28.5" customFormat="1" customHeight="1" s="36">
      <c r="A578" s="37">
        <f>A566&amp;"_"&amp;B578</f>
        <v/>
      </c>
      <c r="B578" s="42" t="n">
        <v>11</v>
      </c>
      <c r="C578" s="185" t="n"/>
      <c r="D578" s="185" t="n"/>
      <c r="E578" s="45" t="inlineStr">
        <is>
          <t>• Standard library components
标准库组件</t>
        </is>
      </c>
      <c r="F578" s="53" t="inlineStr">
        <is>
          <t>not applicable</t>
        </is>
      </c>
      <c r="G578" s="46" t="n"/>
      <c r="H578" s="47" t="n"/>
      <c r="I578" s="47" t="n"/>
      <c r="J578" s="48" t="n"/>
      <c r="K578" s="49" t="n"/>
      <c r="L578" s="49" t="n"/>
      <c r="M578" s="49" t="n"/>
    </row>
    <row r="579" outlineLevel="1" ht="28.5" customFormat="1" customHeight="1" s="36">
      <c r="A579" s="37">
        <f>A566&amp;"_"&amp;B579</f>
        <v/>
      </c>
      <c r="B579" s="50" t="n">
        <v>12</v>
      </c>
      <c r="C579" s="185" t="n"/>
      <c r="D579" s="185" t="n"/>
      <c r="E579" s="45" t="inlineStr">
        <is>
          <t>• Middleware
中间件</t>
        </is>
      </c>
      <c r="F579" s="53" t="inlineStr">
        <is>
          <t>not applicable</t>
        </is>
      </c>
      <c r="G579" s="55" t="n"/>
      <c r="H579" s="47" t="n"/>
      <c r="I579" s="47" t="n"/>
      <c r="J579" s="49" t="n"/>
      <c r="K579" s="49" t="n"/>
      <c r="L579" s="49" t="n"/>
      <c r="M579" s="49" t="n"/>
    </row>
    <row r="580" outlineLevel="1" ht="28.5" customFormat="1" customHeight="1" s="36">
      <c r="A580" s="37">
        <f>A566&amp;"_"&amp;B580</f>
        <v/>
      </c>
      <c r="B580" s="42" t="n">
        <v>13</v>
      </c>
      <c r="C580" s="185" t="n"/>
      <c r="D580" s="185" t="n"/>
      <c r="E580" s="45" t="inlineStr">
        <is>
          <t>• Operating system
操作系统</t>
        </is>
      </c>
      <c r="F580" s="53" t="inlineStr">
        <is>
          <t>not applicable</t>
        </is>
      </c>
      <c r="G580" s="55" t="n"/>
      <c r="H580" s="47" t="n"/>
      <c r="I580" s="47" t="n"/>
      <c r="J580" s="49" t="n"/>
      <c r="K580" s="49" t="n"/>
      <c r="L580" s="49" t="n"/>
      <c r="M580" s="49" t="n"/>
    </row>
    <row r="581" outlineLevel="1" ht="28.5" customFormat="1" customHeight="1" s="36">
      <c r="A581" s="37">
        <f>A566&amp;"_"&amp;B581</f>
        <v/>
      </c>
      <c r="B581" s="50" t="n">
        <v>14</v>
      </c>
      <c r="C581" s="185" t="n"/>
      <c r="D581" s="185" t="n"/>
      <c r="E581" s="45" t="inlineStr">
        <is>
          <t>• Communication stack
通信栈</t>
        </is>
      </c>
      <c r="F581" s="53" t="inlineStr">
        <is>
          <t>not applicable</t>
        </is>
      </c>
      <c r="G581" s="55" t="n"/>
      <c r="H581" s="47" t="n"/>
      <c r="I581" s="47" t="n"/>
      <c r="J581" s="49" t="n"/>
      <c r="K581" s="49" t="n"/>
      <c r="L581" s="49" t="n"/>
      <c r="M581" s="49" t="n"/>
    </row>
    <row r="582" outlineLevel="1" ht="58" customFormat="1" customHeight="1" s="36">
      <c r="A582" s="37">
        <f>A566&amp;"_"&amp;B582</f>
        <v/>
      </c>
      <c r="B582" s="42" t="n">
        <v>15</v>
      </c>
      <c r="C582" s="186" t="n"/>
      <c r="D582" s="186" t="n"/>
      <c r="E582" s="45" t="inlineStr">
        <is>
          <t xml:space="preserve">
• Parameter set
参数设置
</t>
        </is>
      </c>
      <c r="F582" s="53" t="inlineStr">
        <is>
          <t>not applicable</t>
        </is>
      </c>
      <c r="G582" s="55" t="n"/>
      <c r="H582" s="47" t="n"/>
      <c r="I582" s="47" t="n"/>
      <c r="J582" s="49" t="n"/>
      <c r="K582" s="49" t="n"/>
      <c r="L582" s="49" t="n"/>
      <c r="M582" s="49" t="n"/>
    </row>
    <row r="583" outlineLevel="1" ht="100.5" customFormat="1" customHeight="1" s="36">
      <c r="A583" s="37">
        <f>A566&amp;"_"&amp;B583</f>
        <v/>
      </c>
      <c r="B583" s="50" t="n">
        <v>16</v>
      </c>
      <c r="C583" s="187" t="inlineStr">
        <is>
          <t>Communication
between the two
functions</t>
        </is>
      </c>
      <c r="D583" s="184" t="inlineStr">
        <is>
          <t>Receiving function is affected by information that is false, lost, sent multiple times, or in the wrong order etc. from the sender</t>
        </is>
      </c>
      <c r="E583"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583" s="45" t="inlineStr">
        <is>
          <t xml:space="preserve">Yes </t>
        </is>
      </c>
      <c r="G583" s="46" t="inlineStr">
        <is>
          <t>BCC模块失效后可能导致报文校验异常造成位置制动控制模块，转向灯控制模块，倒车灯控制模块，牌照灯控制模块无法接收CAN指令执行功能输出，违背安全目标SG01,SG02,SG03</t>
        </is>
      </c>
      <c r="H583" s="47" t="inlineStr">
        <is>
          <t xml:space="preserve">1：支持硬线制动灯点亮：
</t>
        </is>
      </c>
      <c r="I583" s="47" t="inlineStr">
        <is>
          <t>SW_DFA_SM_001</t>
        </is>
      </c>
      <c r="J583" s="48" t="inlineStr">
        <is>
          <t>通过集成测试</t>
        </is>
      </c>
      <c r="K583" s="49" t="inlineStr">
        <is>
          <t>满足ASILB开发和测试</t>
        </is>
      </c>
      <c r="L583" s="49" t="n"/>
      <c r="M583" s="49" t="n"/>
    </row>
    <row r="584" outlineLevel="1" ht="72.5" customFormat="1" customHeight="1" s="36">
      <c r="A584" s="37">
        <f>A566&amp;"_"&amp;B584</f>
        <v/>
      </c>
      <c r="B584" s="42" t="n">
        <v>17</v>
      </c>
      <c r="C584" s="185" t="n"/>
      <c r="D584" s="185" t="n"/>
      <c r="E584" s="45" t="inlineStr">
        <is>
          <t>• Data or message corruption/ repetition*/ loss*/ delay*/ masquerading or incorrect addressing of information*
数据或信息的损坏/重复/丢失/延迟/伪装或信息的错误标识*</t>
        </is>
      </c>
      <c r="F584" s="53" t="inlineStr">
        <is>
          <t>not applicable</t>
        </is>
      </c>
      <c r="G584" s="55" t="n"/>
      <c r="H584" s="47" t="n"/>
      <c r="I584" s="47" t="n"/>
      <c r="J584" s="49" t="n"/>
      <c r="K584" s="49" t="n"/>
      <c r="L584" s="49" t="n"/>
      <c r="M584" s="49" t="n"/>
    </row>
    <row r="585" outlineLevel="1" ht="49" customFormat="1" customHeight="1" s="36">
      <c r="A585" s="37">
        <f>A566&amp;"_"&amp;B585</f>
        <v/>
      </c>
      <c r="B585" s="50" t="n">
        <v>18</v>
      </c>
      <c r="C585" s="185" t="n"/>
      <c r="D585" s="185" t="n"/>
      <c r="E585" s="45" t="inlineStr">
        <is>
          <t>• Insertion*/ sequence of information*
插入* / 信息序列*</t>
        </is>
      </c>
      <c r="F585" s="53" t="inlineStr">
        <is>
          <t>not applicable</t>
        </is>
      </c>
      <c r="G585" s="55" t="n"/>
      <c r="H585" s="47" t="n"/>
      <c r="I585" s="47" t="n"/>
      <c r="J585" s="49" t="n"/>
      <c r="K585" s="49" t="n"/>
      <c r="L585" s="49" t="n"/>
      <c r="M585" s="49" t="n"/>
    </row>
    <row r="586" outlineLevel="1" ht="48" customFormat="1" customHeight="1" s="36">
      <c r="A586" s="37">
        <f>A566&amp;"_"&amp;B586</f>
        <v/>
      </c>
      <c r="B586" s="42" t="n">
        <v>19</v>
      </c>
      <c r="C586" s="185" t="n"/>
      <c r="D586" s="185" t="n"/>
      <c r="E586" s="45" t="inlineStr">
        <is>
          <t>• Corruption of information*
信息的失真*</t>
        </is>
      </c>
      <c r="F586" s="53" t="inlineStr">
        <is>
          <t>not applicable</t>
        </is>
      </c>
      <c r="G586" s="55" t="n"/>
      <c r="H586" s="47" t="n"/>
      <c r="I586" s="47" t="n"/>
      <c r="J586" s="49" t="n"/>
      <c r="K586" s="49" t="n"/>
      <c r="L586" s="49" t="n"/>
      <c r="M586" s="49" t="n"/>
    </row>
    <row r="587" outlineLevel="1" ht="48" customFormat="1" customHeight="1" s="36">
      <c r="A587" s="37">
        <f>A566&amp;"_"&amp;B587</f>
        <v/>
      </c>
      <c r="B587" s="50" t="n">
        <v>20</v>
      </c>
      <c r="C587" s="185" t="n"/>
      <c r="D587" s="185" t="n"/>
      <c r="E587" s="45" t="inlineStr">
        <is>
          <t>• Asymmetric information sent from a sender to multiple receivers*
从发送者传向多个接收者的不对称信息*</t>
        </is>
      </c>
      <c r="F587" s="53" t="inlineStr">
        <is>
          <t>not applicable</t>
        </is>
      </c>
      <c r="G587" s="55" t="n"/>
      <c r="H587" s="47" t="n"/>
      <c r="I587" s="47" t="n"/>
      <c r="J587" s="49" t="n"/>
      <c r="K587" s="49" t="n"/>
      <c r="L587" s="49" t="n"/>
      <c r="M587" s="49" t="n"/>
    </row>
    <row r="588" outlineLevel="1" ht="48" customFormat="1" customHeight="1" s="36">
      <c r="A588" s="37">
        <f>A566&amp;"_"&amp;B588</f>
        <v/>
      </c>
      <c r="B588" s="42" t="n">
        <v>21</v>
      </c>
      <c r="C588" s="185" t="n"/>
      <c r="D588" s="185" t="n"/>
      <c r="E588" s="45" t="inlineStr">
        <is>
          <t>• Information from a sender received by only a subset of the receivers*
仅部分接收者接收到的来自发送者的信息*</t>
        </is>
      </c>
      <c r="F588" s="53" t="inlineStr">
        <is>
          <t>not applicable</t>
        </is>
      </c>
      <c r="G588" s="55" t="n"/>
      <c r="H588" s="47" t="n"/>
      <c r="I588" s="47" t="n"/>
      <c r="J588" s="49" t="n"/>
      <c r="K588" s="49" t="n"/>
      <c r="L588" s="49" t="n"/>
      <c r="M588" s="49" t="n"/>
    </row>
    <row r="589" outlineLevel="1" ht="43.5" customFormat="1" customHeight="1" s="36">
      <c r="A589" s="37">
        <f>A566&amp;"_"&amp;B589</f>
        <v/>
      </c>
      <c r="B589" s="50" t="n">
        <v>22</v>
      </c>
      <c r="C589" s="186" t="n"/>
      <c r="D589" s="186" t="n"/>
      <c r="E589" s="45" t="inlineStr">
        <is>
          <t>• Blocking access to a communication channel*
阻止对通信通道的访问*</t>
        </is>
      </c>
      <c r="F589" s="53" t="inlineStr">
        <is>
          <t>not applicable</t>
        </is>
      </c>
      <c r="G589" s="46" t="n"/>
      <c r="H589" s="47" t="n"/>
      <c r="I589" s="47" t="n"/>
      <c r="J589" s="48" t="n"/>
      <c r="K589" s="49" t="n"/>
      <c r="L589" s="49" t="n"/>
      <c r="M589" s="49" t="n"/>
    </row>
    <row r="590" outlineLevel="1" ht="45" customFormat="1" customHeight="1" s="36">
      <c r="A590" s="37">
        <f>A566&amp;"_"&amp;B590</f>
        <v/>
      </c>
      <c r="B590" s="42" t="n">
        <v>23</v>
      </c>
      <c r="C590" s="187" t="inlineStr">
        <is>
          <t>Shared information
inputs</t>
        </is>
      </c>
      <c r="D590" s="187" t="inlineStr">
        <is>
          <t>Same information consumed by the two functions even in absence of shared resources, i.e. from a functional perspective</t>
        </is>
      </c>
      <c r="E590" s="45" t="inlineStr">
        <is>
          <t>• Calibration parameters
标准参数</t>
        </is>
      </c>
      <c r="F590" s="53" t="inlineStr">
        <is>
          <t>not applicable</t>
        </is>
      </c>
      <c r="G590" s="55" t="n"/>
      <c r="H590" s="47" t="n"/>
      <c r="I590" s="47" t="n"/>
      <c r="J590" s="49" t="n"/>
      <c r="K590" s="49" t="n"/>
      <c r="L590" s="49" t="n"/>
      <c r="M590" s="49" t="n"/>
    </row>
    <row r="591" outlineLevel="1" ht="84" customFormat="1" customHeight="1" s="36">
      <c r="A591" s="37">
        <f>A566&amp;"_"&amp;B591</f>
        <v/>
      </c>
      <c r="B591" s="50" t="n">
        <v>24</v>
      </c>
      <c r="C591" s="185" t="n"/>
      <c r="D591" s="185" t="n"/>
      <c r="E591" s="45" t="inlineStr">
        <is>
          <t>• Constants, or variables, being global to the two software functions
常量或变量对于这两个软件功能而言是全局性的。</t>
        </is>
      </c>
      <c r="F591" s="45" t="inlineStr">
        <is>
          <t xml:space="preserve">Yes </t>
        </is>
      </c>
      <c r="G591" s="46" t="inlineStr">
        <is>
          <t>BCC模块失效后可能导致报文校验异常造成位置制动控制模块，转向灯控制模块，倒车灯控制模块，牌照灯控制模块无法接收CAN指令执行功能输出，违背安全目标SG01,SG02,SG03</t>
        </is>
      </c>
      <c r="H591" s="47" t="inlineStr">
        <is>
          <t xml:space="preserve">1：支持硬线制动灯点亮：
</t>
        </is>
      </c>
      <c r="I591" s="47" t="inlineStr">
        <is>
          <t>SW_DFA_SM_001</t>
        </is>
      </c>
      <c r="J591" s="48" t="inlineStr">
        <is>
          <t>通过集成测试</t>
        </is>
      </c>
      <c r="K591" s="49" t="inlineStr">
        <is>
          <t>满足ASILB开发和测试</t>
        </is>
      </c>
      <c r="L591" s="49" t="n"/>
      <c r="M591" s="49" t="n"/>
    </row>
    <row r="592" outlineLevel="1" ht="100" customFormat="1" customHeight="1" s="36">
      <c r="A592" s="37">
        <f>A566&amp;"_"&amp;B592</f>
        <v/>
      </c>
      <c r="B592" s="42" t="n">
        <v>25</v>
      </c>
      <c r="C592" s="185" t="n"/>
      <c r="D592" s="185" t="n"/>
      <c r="E592" s="45" t="inlineStr">
        <is>
          <t>• Basic software passes data (read from hardware register and converted into logical information) to two application software functions
基础软件会将数据（从硬件寄存器读取并转换为逻辑信息）传递给两个应用程序软件功能。</t>
        </is>
      </c>
      <c r="F592" s="53" t="inlineStr">
        <is>
          <t>not applicable</t>
        </is>
      </c>
      <c r="G592" s="55" t="n"/>
      <c r="H592" s="47" t="n"/>
      <c r="I592" s="47" t="n"/>
      <c r="J592" s="49" t="n"/>
      <c r="K592" s="49" t="n"/>
      <c r="L592" s="49" t="n"/>
      <c r="M592" s="49" t="n"/>
    </row>
    <row r="593" outlineLevel="1" ht="115.5" customFormat="1" customHeight="1" s="36">
      <c r="A593" s="37">
        <f>A566&amp;"_"&amp;B593</f>
        <v/>
      </c>
      <c r="B593" s="50" t="n">
        <v>26</v>
      </c>
      <c r="C593" s="186" t="n"/>
      <c r="D593" s="186" t="n"/>
      <c r="E593"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593" s="53" t="inlineStr">
        <is>
          <t>not applicable</t>
        </is>
      </c>
      <c r="G593" s="55" t="n"/>
      <c r="H593" s="47" t="n"/>
      <c r="I593" s="47" t="n"/>
      <c r="J593" s="49" t="n"/>
      <c r="K593" s="49" t="n"/>
      <c r="L593" s="49" t="n"/>
      <c r="M593" s="49" t="n"/>
    </row>
    <row r="594" outlineLevel="1" ht="68.5" customFormat="1" customHeight="1" s="36">
      <c r="A594" s="37">
        <f>A566&amp;"_"&amp;B594</f>
        <v/>
      </c>
      <c r="B594" s="42" t="n">
        <v>27</v>
      </c>
      <c r="C594" s="187" t="inlineStr">
        <is>
          <t>Environmental
influences</t>
        </is>
      </c>
      <c r="D594" s="184" t="inlineStr">
        <is>
          <t>Common external environmental disturbance affects both functions</t>
        </is>
      </c>
      <c r="E594" s="45" t="inlineStr">
        <is>
          <t xml:space="preserve">System-level: mechanical shock, water ingress
 系统层面：机械震动、进水                                                                                                                                                                </t>
        </is>
      </c>
      <c r="F594" s="53" t="inlineStr">
        <is>
          <t>not applicable</t>
        </is>
      </c>
      <c r="G594" s="55" t="n"/>
      <c r="H594" s="47" t="n"/>
      <c r="I594" s="47" t="n"/>
      <c r="J594" s="49" t="n"/>
      <c r="K594" s="49" t="n"/>
      <c r="L594" s="49" t="n"/>
      <c r="M594" s="49" t="n"/>
    </row>
    <row r="595" outlineLevel="1" ht="28.5" customFormat="1" customHeight="1" s="36">
      <c r="A595" s="37">
        <f>A566&amp;"_"&amp;B595</f>
        <v/>
      </c>
      <c r="B595" s="50" t="n">
        <v>28</v>
      </c>
      <c r="C595" s="185" t="n"/>
      <c r="D595" s="185" t="n"/>
      <c r="E595" s="45" t="inlineStr">
        <is>
          <t>Software-level: not applicable for Software
软件层面：不适用于软件</t>
        </is>
      </c>
      <c r="F595" s="53" t="inlineStr">
        <is>
          <t>not applicable</t>
        </is>
      </c>
      <c r="G595" s="55" t="n"/>
      <c r="H595" s="47" t="n"/>
      <c r="I595" s="47" t="n"/>
      <c r="J595" s="49" t="n"/>
      <c r="K595" s="49" t="n"/>
      <c r="L595" s="49" t="n"/>
      <c r="M595" s="49" t="n"/>
    </row>
    <row r="596" outlineLevel="1" ht="43" customFormat="1" customHeight="1" s="36">
      <c r="A596" s="37">
        <f>A566&amp;"_"&amp;B596</f>
        <v/>
      </c>
      <c r="B596" s="42" t="n">
        <v>29</v>
      </c>
      <c r="C596" s="186" t="n"/>
      <c r="D596" s="186" t="n"/>
      <c r="E596" s="45" t="inlineStr">
        <is>
          <t>Hardware-level: under and over voltage of the power supply        
硬件层面：电源的欠压和过压情况</t>
        </is>
      </c>
      <c r="F596" s="53" t="inlineStr">
        <is>
          <t>not applicable</t>
        </is>
      </c>
      <c r="G596" s="55" t="n"/>
      <c r="H596" s="47" t="n"/>
      <c r="I596" s="47" t="n"/>
      <c r="J596" s="49" t="n"/>
      <c r="K596" s="49" t="n"/>
      <c r="L596" s="49" t="n"/>
      <c r="M596" s="49" t="n"/>
    </row>
    <row r="597" outlineLevel="1" ht="84" customFormat="1" customHeight="1" s="36">
      <c r="A597" s="37">
        <f>A566&amp;"_"&amp;B597</f>
        <v/>
      </c>
      <c r="B597" s="50" t="n">
        <v>30</v>
      </c>
      <c r="C597" s="187" t="inlineStr">
        <is>
          <t>Unintended impact</t>
        </is>
      </c>
      <c r="D597" s="187" t="inlineStr">
        <is>
          <t>Two functions affecting each other’s elements directly via an implicit, that is unintended interface.</t>
        </is>
      </c>
      <c r="E597" s="45" t="inlineStr">
        <is>
          <t>• Memory / corruption of content*
– “wild pointers“ (including program counter stack)
内存/内容损坏*
——“失控指针”（包括程序计数器栈</t>
        </is>
      </c>
      <c r="F597" s="45" t="inlineStr">
        <is>
          <t xml:space="preserve">Yes </t>
        </is>
      </c>
      <c r="G597" s="46" t="inlineStr">
        <is>
          <t>BCC模块失效后可能导致报文校验异常造成位置制动控制模块，转向灯控制模块，倒车灯控制模块，牌照灯控制模块无法接收CAN指令执行功能输出，违背安全目标SG01,SG02,SG03</t>
        </is>
      </c>
      <c r="H597" s="47" t="inlineStr">
        <is>
          <t>1：支持硬线制动灯点亮：
2：支持外部看门狗</t>
        </is>
      </c>
      <c r="I597" s="47" t="inlineStr">
        <is>
          <t>SW_DFA_SM_001 
SW_DFA_SM_004</t>
        </is>
      </c>
      <c r="J597" s="48" t="inlineStr">
        <is>
          <t>通过集成测试</t>
        </is>
      </c>
      <c r="K597" s="49" t="inlineStr">
        <is>
          <t>满足ASILB开发和测试</t>
        </is>
      </c>
      <c r="L597" s="49" t="n"/>
      <c r="M597" s="49" t="n"/>
    </row>
    <row r="598" outlineLevel="1" ht="84" customFormat="1" customHeight="1" s="36">
      <c r="A598" s="37">
        <f>A566&amp;"_"&amp;B598</f>
        <v/>
      </c>
      <c r="B598" s="42" t="n">
        <v>31</v>
      </c>
      <c r="C598" s="185" t="n"/>
      <c r="D598" s="185" t="n"/>
      <c r="E598" s="45" t="inlineStr">
        <is>
          <t>– memory mis-allocation
——内存分配错误</t>
        </is>
      </c>
      <c r="F598" s="45" t="inlineStr">
        <is>
          <t xml:space="preserve">Yes </t>
        </is>
      </c>
      <c r="G598" s="46" t="inlineStr">
        <is>
          <t>BCC模块失效后可能导致报文校验异常造成位置制动控制模块，转向灯控制模块，倒车灯控制模块，牌照灯控制模块无法接收CAN指令执行功能输出，违背安全目标SG01,SG02,SG03</t>
        </is>
      </c>
      <c r="H598" s="47" t="inlineStr">
        <is>
          <t>1：支持硬线制动灯点亮：
2：支持外部看门狗</t>
        </is>
      </c>
      <c r="I598" s="47" t="inlineStr">
        <is>
          <t>SW_DFA_SM_001 
SW_DFA_SM_004</t>
        </is>
      </c>
      <c r="J598" s="48" t="inlineStr">
        <is>
          <t>通过集成测试</t>
        </is>
      </c>
      <c r="K598" s="49" t="inlineStr">
        <is>
          <t>满足ASILB开发和测试</t>
        </is>
      </c>
      <c r="L598" s="49" t="n"/>
      <c r="M598" s="49" t="n"/>
    </row>
    <row r="599" outlineLevel="1" ht="84" customFormat="1" customHeight="1" s="36">
      <c r="A599" s="37">
        <f>A566&amp;"_"&amp;B599</f>
        <v/>
      </c>
      <c r="B599" s="50" t="n">
        <v>32</v>
      </c>
      <c r="C599" s="185" t="n"/>
      <c r="D599" s="185" t="n"/>
      <c r="E599" s="45" t="inlineStr">
        <is>
          <t>– memory leaks
内存泄漏</t>
        </is>
      </c>
      <c r="F599" s="45" t="inlineStr">
        <is>
          <t xml:space="preserve">Yes </t>
        </is>
      </c>
      <c r="G599" s="46" t="inlineStr">
        <is>
          <t>BCC模块失效后可能导致报文校验异常造成位置制动控制模块，转向灯控制模块，倒车灯控制模块，牌照灯控制模块无法接收CAN指令执行功能输出，违背安全目标SG01,SG02,SG03</t>
        </is>
      </c>
      <c r="H599" s="47" t="inlineStr">
        <is>
          <t>1：支持硬线制动灯点亮：
2：支持外部看门狗</t>
        </is>
      </c>
      <c r="I599" s="47" t="inlineStr">
        <is>
          <t>SW_DFA_SM_001 
SW_DFA_SM_004</t>
        </is>
      </c>
      <c r="J599" s="48" t="inlineStr">
        <is>
          <t>通过集成测试</t>
        </is>
      </c>
      <c r="K599" s="49" t="inlineStr">
        <is>
          <t>满足ASILB开发和测试</t>
        </is>
      </c>
      <c r="L599" s="49" t="n"/>
      <c r="M599" s="49" t="n"/>
    </row>
    <row r="600" outlineLevel="1" ht="58" customFormat="1" customHeight="1" s="36">
      <c r="A600" s="37">
        <f>A566&amp;"_"&amp;B600</f>
        <v/>
      </c>
      <c r="B600" s="42" t="n">
        <v>33</v>
      </c>
      <c r="C600" s="185" t="n"/>
      <c r="D600" s="185" t="n"/>
      <c r="E600" s="45" t="inlineStr">
        <is>
          <t>– read/write access to memory allocated to another software element*
—— 对分配给其他软件组件的内存的读/写访问权限*</t>
        </is>
      </c>
      <c r="F600" s="53" t="inlineStr">
        <is>
          <t>not applicable</t>
        </is>
      </c>
      <c r="G600" s="55" t="n"/>
      <c r="H600" s="47" t="n"/>
      <c r="I600" s="47" t="n"/>
      <c r="J600" s="49" t="n"/>
      <c r="K600" s="49" t="n"/>
      <c r="L600" s="49" t="n"/>
      <c r="M600" s="49" t="n"/>
    </row>
    <row r="601" outlineLevel="1" ht="29" customFormat="1" customHeight="1" s="36">
      <c r="A601" s="37">
        <f>A566&amp;"_"&amp;B601</f>
        <v/>
      </c>
      <c r="B601" s="50" t="n">
        <v>34</v>
      </c>
      <c r="C601" s="185" t="n"/>
      <c r="D601" s="185" t="n"/>
      <c r="E601" s="45" t="inlineStr">
        <is>
          <t>– buffer under-/overflow
– 缓冲区下溢/上溢</t>
        </is>
      </c>
      <c r="F601" s="53" t="inlineStr">
        <is>
          <t>not applicable</t>
        </is>
      </c>
      <c r="G601" s="55" t="n"/>
      <c r="H601" s="47" t="n"/>
      <c r="I601" s="47" t="n"/>
      <c r="J601" s="49" t="n"/>
      <c r="K601" s="49" t="n"/>
      <c r="L601" s="49" t="n"/>
      <c r="M601" s="49" t="n"/>
    </row>
    <row r="602" outlineLevel="1" ht="57.5" customFormat="1" customHeight="1" s="36">
      <c r="A602" s="37">
        <f>A566&amp;"_"&amp;B602</f>
        <v/>
      </c>
      <c r="B602" s="42" t="n">
        <v>35</v>
      </c>
      <c r="C602" s="185" t="n"/>
      <c r="D602" s="185" t="n"/>
      <c r="E602" s="45" t="inlineStr">
        <is>
          <t>• Timing and execution
– deadlocks*
时机与执行
——死锁*</t>
        </is>
      </c>
      <c r="F602" s="53" t="inlineStr">
        <is>
          <t>not applicable</t>
        </is>
      </c>
      <c r="G602" s="55" t="n"/>
      <c r="H602" s="47" t="n"/>
      <c r="I602" s="47" t="n"/>
      <c r="J602" s="49" t="n"/>
      <c r="K602" s="49" t="n"/>
      <c r="L602" s="49" t="n"/>
      <c r="M602" s="49" t="n"/>
    </row>
    <row r="603" outlineLevel="1" ht="28.5" customFormat="1" customHeight="1" s="36">
      <c r="A603" s="37">
        <f>A566&amp;"_"&amp;B603</f>
        <v/>
      </c>
      <c r="B603" s="50" t="n">
        <v>36</v>
      </c>
      <c r="C603" s="185" t="n"/>
      <c r="D603" s="185" t="n"/>
      <c r="E603" s="45" t="inlineStr">
        <is>
          <t>– livelocks*
活锁</t>
        </is>
      </c>
      <c r="F603" s="53" t="inlineStr">
        <is>
          <t>not applicable</t>
        </is>
      </c>
      <c r="G603" s="55" t="n"/>
      <c r="H603" s="47" t="n"/>
      <c r="I603" s="47" t="n"/>
      <c r="J603" s="49" t="n"/>
      <c r="K603" s="49" t="n"/>
      <c r="L603" s="49" t="n"/>
      <c r="M603" s="49" t="n"/>
    </row>
    <row r="604" outlineLevel="1" ht="29" customFormat="1" customHeight="1" s="36">
      <c r="A604" s="37">
        <f>A566&amp;"_"&amp;B604</f>
        <v/>
      </c>
      <c r="B604" s="42" t="n">
        <v>37</v>
      </c>
      <c r="C604" s="185" t="n"/>
      <c r="D604" s="185" t="n"/>
      <c r="E604" s="45" t="inlineStr">
        <is>
          <t>– incorrect allocation of execution time*
——执行时间分配不当*</t>
        </is>
      </c>
      <c r="F604" s="53" t="inlineStr">
        <is>
          <t>not applicable</t>
        </is>
      </c>
      <c r="G604" s="55" t="n"/>
      <c r="H604" s="47" t="n"/>
      <c r="I604" s="47" t="n"/>
      <c r="J604" s="49" t="n"/>
      <c r="K604" s="49" t="n"/>
      <c r="L604" s="49" t="n"/>
      <c r="M604" s="49" t="n"/>
    </row>
    <row r="605" outlineLevel="1" ht="43.5" customFormat="1" customHeight="1" s="36">
      <c r="A605" s="37">
        <f>A566&amp;"_"&amp;B605</f>
        <v/>
      </c>
      <c r="B605" s="50" t="n">
        <v>38</v>
      </c>
      <c r="C605" s="186" t="n"/>
      <c r="D605" s="186" t="n"/>
      <c r="E605" s="45" t="inlineStr">
        <is>
          <t>– incorrect synchronization between software elements*
——软件各组成部分之间的同步不正确*</t>
        </is>
      </c>
      <c r="F605" s="53" t="inlineStr">
        <is>
          <t>not applicable</t>
        </is>
      </c>
      <c r="G605" s="46" t="n"/>
      <c r="H605" s="47" t="n"/>
      <c r="I605" s="47" t="n"/>
      <c r="J605" s="48" t="n"/>
      <c r="K605" s="49" t="n"/>
      <c r="L605" s="49" t="n"/>
      <c r="M605" s="49" t="n"/>
    </row>
    <row r="606" outlineLevel="1" ht="72" customFormat="1" customHeight="1" s="36">
      <c r="A606" s="37">
        <f>A566&amp;"_"&amp;B606</f>
        <v/>
      </c>
      <c r="B606" s="42" t="n">
        <v>39</v>
      </c>
      <c r="C606" s="187" t="inlineStr">
        <is>
          <t>Systematic coupling</t>
        </is>
      </c>
      <c r="D606" s="187" t="inlineStr">
        <is>
          <t>Systematic causes from human or tool errors can lead to the simultaneous failure of more than one function</t>
        </is>
      </c>
      <c r="E606" s="45" t="inlineStr">
        <is>
          <t>• Manufacturing fault / repair fault (e.g. false flashing, false calibration reference for sensors)
制造故障/维修故障（例如：错误的闪烁现象、传感器的错误校准参考值）</t>
        </is>
      </c>
      <c r="F606" s="53" t="inlineStr">
        <is>
          <t>not applicable</t>
        </is>
      </c>
      <c r="G606" s="55" t="n"/>
      <c r="H606" s="47" t="n"/>
      <c r="I606" s="47" t="n"/>
      <c r="J606" s="49" t="n"/>
      <c r="K606" s="49" t="n"/>
      <c r="L606" s="49" t="n"/>
      <c r="M606" s="49" t="n"/>
    </row>
    <row r="607" outlineLevel="1" ht="115.5" customFormat="1" customHeight="1" s="36">
      <c r="A607" s="37">
        <f>A566&amp;"_"&amp;B607</f>
        <v/>
      </c>
      <c r="B607" s="50" t="n">
        <v>40</v>
      </c>
      <c r="C607" s="185" t="n"/>
      <c r="D607" s="185" t="n"/>
      <c r="E607" s="61" t="inlineStr">
        <is>
          <t xml:space="preserve">• Non-diverse development approaches including:
– same software tools (e.g. IDE, compiler, linker)
非多元化的发展方式包括：
——相同的软件工具（例如集成开发环境、编译器、链接器）
</t>
        </is>
      </c>
      <c r="F607" s="45" t="inlineStr">
        <is>
          <t xml:space="preserve">Yes </t>
        </is>
      </c>
      <c r="G607" s="62" t="inlineStr">
        <is>
          <t>代码异常导致的违背安全目标</t>
        </is>
      </c>
      <c r="H607" s="63" t="inlineStr">
        <is>
          <t>工具鉴定</t>
        </is>
      </c>
      <c r="I607" s="63" t="n"/>
      <c r="J607" s="49" t="inlineStr">
        <is>
          <t>通过集成测试</t>
        </is>
      </c>
      <c r="K607" s="68" t="inlineStr">
        <is>
          <t>满足ASILB开发和测试</t>
        </is>
      </c>
      <c r="L607" s="68" t="n"/>
      <c r="M607" s="49" t="n"/>
    </row>
    <row r="608" outlineLevel="1" ht="84" customFormat="1" customHeight="1" s="36">
      <c r="A608" s="37">
        <f>A566&amp;"_"&amp;B608</f>
        <v/>
      </c>
      <c r="B608" s="42" t="n">
        <v>41</v>
      </c>
      <c r="C608" s="185" t="n"/>
      <c r="D608" s="185" t="n"/>
      <c r="E608" s="61" t="inlineStr">
        <is>
          <t>– same algorithms
相同的算法</t>
        </is>
      </c>
      <c r="F608" s="45" t="inlineStr">
        <is>
          <t xml:space="preserve">Yes </t>
        </is>
      </c>
      <c r="G608" s="46" t="inlineStr">
        <is>
          <t>BCC模块失效后可能导致报文校验异常造成位置制动控制模块，转向灯控制模块，倒车灯控制模块，牌照灯控制模块无法接收CAN指令执行功能输出，违背安全目标SG01,SG02,SG03</t>
        </is>
      </c>
      <c r="H608" s="47" t="inlineStr">
        <is>
          <t>1：支持硬线制动灯点亮：
2：支持外部看门狗
3：报文校验失败后会点亮制动灯</t>
        </is>
      </c>
      <c r="I608" s="47" t="inlineStr">
        <is>
          <t>SW_DFA_SM_001 
SW_DFA_SM_004</t>
        </is>
      </c>
      <c r="J608" s="48" t="inlineStr">
        <is>
          <t>通过集成测试</t>
        </is>
      </c>
      <c r="K608" s="49" t="inlineStr">
        <is>
          <t>满足ASILB开发和测试</t>
        </is>
      </c>
      <c r="L608" s="49" t="n"/>
      <c r="M608" s="49" t="n"/>
    </row>
    <row r="609" outlineLevel="1" ht="43.5" customFormat="1" customHeight="1" s="36">
      <c r="A609" s="37">
        <f>A566&amp;"_"&amp;B609</f>
        <v/>
      </c>
      <c r="B609" s="50" t="n">
        <v>42</v>
      </c>
      <c r="C609" s="185" t="n"/>
      <c r="D609" s="185" t="n"/>
      <c r="E609" s="61" t="inlineStr">
        <is>
          <t>– same programming and/or modelling language used
所使用的编程和/或建模语言相同</t>
        </is>
      </c>
      <c r="F609" s="45" t="inlineStr">
        <is>
          <t xml:space="preserve">Yes </t>
        </is>
      </c>
      <c r="G609" s="62" t="inlineStr">
        <is>
          <t>代码异常导致的违背安全目标</t>
        </is>
      </c>
      <c r="H609" s="63" t="inlineStr">
        <is>
          <t>工具鉴定</t>
        </is>
      </c>
      <c r="I609" s="47" t="n"/>
      <c r="J609" s="49" t="inlineStr">
        <is>
          <t>通过集成测试</t>
        </is>
      </c>
      <c r="K609" s="49" t="inlineStr">
        <is>
          <t>满足ASILB开发和测试</t>
        </is>
      </c>
      <c r="L609" s="49" t="n"/>
      <c r="M609" s="49" t="n"/>
    </row>
    <row r="610" outlineLevel="1" ht="29" customFormat="1" customHeight="1" s="36">
      <c r="A610" s="37">
        <f>A566&amp;"_"&amp;B610</f>
        <v/>
      </c>
      <c r="B610" s="42" t="n">
        <v>43</v>
      </c>
      <c r="C610" s="185" t="n"/>
      <c r="D610" s="185" t="n"/>
      <c r="E610" s="61" t="inlineStr">
        <is>
          <t>– same complier/linker used
使用的是相同的编译器/链接器</t>
        </is>
      </c>
      <c r="F610" s="45" t="inlineStr">
        <is>
          <t xml:space="preserve">Yes </t>
        </is>
      </c>
      <c r="G610" s="62" t="inlineStr">
        <is>
          <t>代码异常导致的违背安全目标</t>
        </is>
      </c>
      <c r="H610" s="63" t="inlineStr">
        <is>
          <t>工具鉴定</t>
        </is>
      </c>
      <c r="I610" s="47" t="n"/>
      <c r="J610" s="49" t="inlineStr">
        <is>
          <t>通过集成测试</t>
        </is>
      </c>
      <c r="K610" s="49" t="inlineStr">
        <is>
          <t>满足ASILB开发和测试</t>
        </is>
      </c>
      <c r="L610" s="49" t="n"/>
      <c r="M610" s="49" t="n"/>
    </row>
    <row r="611" outlineLevel="1" ht="28.5" customFormat="1" customHeight="1" s="36">
      <c r="A611" s="37">
        <f>A566&amp;"_"&amp;B611</f>
        <v/>
      </c>
      <c r="B611" s="50" t="n">
        <v>44</v>
      </c>
      <c r="C611" s="185" t="n"/>
      <c r="D611" s="185" t="n"/>
      <c r="E611" s="45" t="inlineStr">
        <is>
          <t>• Same personnel
相同人员</t>
        </is>
      </c>
      <c r="F611" s="53" t="inlineStr">
        <is>
          <t>not applicable</t>
        </is>
      </c>
      <c r="G611" s="55" t="n"/>
      <c r="H611" s="47" t="n"/>
      <c r="I611" s="47" t="n"/>
      <c r="J611" s="49" t="n"/>
      <c r="K611" s="49" t="n"/>
      <c r="L611" s="49" t="n"/>
      <c r="M611" s="49" t="n"/>
    </row>
    <row r="612" outlineLevel="1" ht="57" customFormat="1" customHeight="1" s="36">
      <c r="A612" s="37">
        <f>A566&amp;"_"&amp;B612</f>
        <v/>
      </c>
      <c r="B612" s="42" t="n">
        <v>45</v>
      </c>
      <c r="C612" s="185" t="n"/>
      <c r="D612" s="185" t="n"/>
      <c r="E612" s="45" t="inlineStr">
        <is>
          <t>• Same social-cultural context (even if different personnel)
相同的社会文化背景（即便人员有所不同）</t>
        </is>
      </c>
      <c r="F612" s="53" t="inlineStr">
        <is>
          <t>not applicable</t>
        </is>
      </c>
      <c r="G612" s="55" t="n"/>
      <c r="H612" s="47" t="n"/>
      <c r="I612" s="47" t="n"/>
      <c r="J612" s="49" t="n"/>
      <c r="K612" s="49" t="n"/>
      <c r="L612" s="49" t="n"/>
      <c r="M612" s="49" t="n"/>
    </row>
    <row r="613" outlineLevel="1" ht="57.5" customFormat="1" customHeight="1" s="36">
      <c r="A613" s="37">
        <f>A566&amp;"_"&amp;B613</f>
        <v/>
      </c>
      <c r="B613" s="50" t="n">
        <v>46</v>
      </c>
      <c r="C613" s="185" t="n"/>
      <c r="D613" s="185" t="n"/>
      <c r="E613" s="45" t="inlineStr">
        <is>
          <t>• Development fault, e.g.
– human error
开发失误，例如：
– 人为错误</t>
        </is>
      </c>
      <c r="F613" s="53" t="inlineStr">
        <is>
          <t>not applicable</t>
        </is>
      </c>
      <c r="G613" s="55" t="n"/>
      <c r="H613" s="47" t="n"/>
      <c r="I613" s="47" t="n"/>
      <c r="J613" s="49" t="n"/>
      <c r="K613" s="49" t="n"/>
      <c r="L613" s="49" t="n"/>
      <c r="M613" s="49" t="n"/>
    </row>
    <row r="614" outlineLevel="1" ht="28.5" customFormat="1" customHeight="1" s="36">
      <c r="A614" s="37">
        <f>A566&amp;"_"&amp;B614</f>
        <v/>
      </c>
      <c r="B614" s="42" t="n">
        <v>47</v>
      </c>
      <c r="C614" s="185" t="n"/>
      <c r="D614" s="185" t="n"/>
      <c r="E614" s="45" t="inlineStr">
        <is>
          <t>– insufficiently qualified personnel
资质不足的人员</t>
        </is>
      </c>
      <c r="F614" s="53" t="inlineStr">
        <is>
          <t>not applicable</t>
        </is>
      </c>
      <c r="G614" s="55" t="n"/>
      <c r="H614" s="47" t="n"/>
      <c r="I614" s="47" t="n"/>
      <c r="J614" s="49" t="n"/>
      <c r="K614" s="49" t="n"/>
      <c r="L614" s="49" t="n"/>
      <c r="M614" s="49" t="n"/>
    </row>
    <row r="615" outlineLevel="1" ht="28.5" customFormat="1" customHeight="1" s="36">
      <c r="A615" s="37">
        <f>A566&amp;"_"&amp;B615</f>
        <v/>
      </c>
      <c r="B615" s="50" t="n">
        <v>48</v>
      </c>
      <c r="C615" s="185" t="n"/>
      <c r="D615" s="185" t="n"/>
      <c r="E615" s="45" t="inlineStr">
        <is>
          <t>– process weaknesses
处理弱点</t>
        </is>
      </c>
      <c r="F615" s="53" t="inlineStr">
        <is>
          <t>not applicable</t>
        </is>
      </c>
      <c r="G615" s="55" t="n"/>
      <c r="H615" s="47" t="n"/>
      <c r="I615" s="47" t="n"/>
      <c r="J615" s="49" t="n"/>
      <c r="K615" s="49" t="n"/>
      <c r="L615" s="49" t="n"/>
      <c r="M615" s="49" t="n"/>
    </row>
    <row r="616" outlineLevel="1" ht="26" customFormat="1" customHeight="1" s="36">
      <c r="A616" s="37">
        <f>A566&amp;"_"&amp;B616</f>
        <v/>
      </c>
      <c r="B616" s="42" t="n">
        <v>49</v>
      </c>
      <c r="C616" s="186" t="n"/>
      <c r="D616" s="186" t="n"/>
      <c r="E616" s="45" t="inlineStr">
        <is>
          <t>– insufficient methods方法不足</t>
        </is>
      </c>
      <c r="F616" s="53" t="inlineStr">
        <is>
          <t>not applicable</t>
        </is>
      </c>
      <c r="G616" s="55" t="n"/>
      <c r="H616" s="47" t="n"/>
      <c r="I616" s="47" t="n"/>
      <c r="J616" s="49" t="n"/>
      <c r="K616" s="49" t="n"/>
      <c r="L616" s="49" t="n"/>
      <c r="M616" s="49" t="n"/>
    </row>
    <row r="617" ht="75" customFormat="1" customHeight="1" s="36">
      <c r="A617" s="67">
        <f>'Top Event'!B16</f>
        <v/>
      </c>
      <c r="B617" s="67" t="n"/>
      <c r="C617" s="67">
        <f>'Top Event'!C16</f>
        <v/>
      </c>
      <c r="D617" s="69">
        <f>'Top Event'!D16</f>
        <v/>
      </c>
      <c r="E617" s="67">
        <f>'Top Event'!E16</f>
        <v/>
      </c>
      <c r="F617" s="66" t="n"/>
      <c r="G617" s="66" t="n"/>
      <c r="H617" s="64" t="n"/>
      <c r="I617" s="64" t="n"/>
      <c r="J617" s="36" t="n"/>
      <c r="K617" s="36" t="n"/>
      <c r="L617" s="36" t="n"/>
      <c r="M617" s="36" t="n"/>
    </row>
    <row r="618" ht="37.25" customFormat="1" customHeight="1" s="36">
      <c r="A618" s="37" t="n"/>
      <c r="B618" s="37" t="n"/>
      <c r="C618" s="38" t="inlineStr">
        <is>
          <t>DF-I Category</t>
        </is>
      </c>
      <c r="D618" s="38" t="inlineStr">
        <is>
          <t>Interpretation</t>
        </is>
      </c>
      <c r="E618" s="38" t="inlineStr">
        <is>
          <t>DF-Initiator Examples</t>
        </is>
      </c>
      <c r="F618" s="38" t="inlineStr">
        <is>
          <t>Applicable?</t>
        </is>
      </c>
      <c r="G618" s="38" t="inlineStr">
        <is>
          <t>safety  goal related</t>
        </is>
      </c>
      <c r="H618" s="39" t="inlineStr">
        <is>
          <t>Counter Measure</t>
        </is>
      </c>
      <c r="I618" s="39" t="inlineStr">
        <is>
          <t>Counter Measure ID</t>
        </is>
      </c>
      <c r="J618" s="38" t="inlineStr">
        <is>
          <t>Evidence</t>
        </is>
      </c>
      <c r="K618" s="38" t="inlineStr">
        <is>
          <t>sufficient?</t>
        </is>
      </c>
      <c r="L618" s="38" t="n"/>
      <c r="M618" s="41" t="inlineStr">
        <is>
          <t>Comment</t>
        </is>
      </c>
    </row>
    <row r="619" outlineLevel="1" ht="86" customFormat="1" customHeight="1" s="36">
      <c r="A619" s="37">
        <f>A617&amp;"_"&amp;B619</f>
        <v/>
      </c>
      <c r="B619" s="42" t="n">
        <v>1</v>
      </c>
      <c r="C619" s="183" t="inlineStr">
        <is>
          <t>Shared resource</t>
        </is>
      </c>
      <c r="D619" s="184" t="inlineStr">
        <is>
          <t>The same software, hardware, or system element instance used by the two elements which are therefore affected by the failure or unavailability of that shared resource, i.e. from a physical perspective.</t>
        </is>
      </c>
      <c r="E619" s="45" t="inlineStr">
        <is>
          <t>Software component used by more than one other software component, e.g.
– reused standard software modules
被多个其他软件组件所使用的软件组件，例如：
– 重复使用的标准软件模块</t>
        </is>
      </c>
      <c r="F619" s="53" t="inlineStr">
        <is>
          <t>not applicable</t>
        </is>
      </c>
      <c r="G619" s="55" t="n"/>
      <c r="H619" s="47" t="n"/>
      <c r="I619" s="47" t="n"/>
      <c r="J619" s="49" t="n"/>
      <c r="K619" s="49" t="n"/>
      <c r="L619" s="49" t="n"/>
      <c r="M619" s="49" t="n"/>
    </row>
    <row r="620" outlineLevel="1" ht="28.5" customFormat="1" customHeight="1" s="36">
      <c r="A620" s="37">
        <f>A617&amp;"_"&amp;B620</f>
        <v/>
      </c>
      <c r="B620" s="50" t="n">
        <v>2</v>
      </c>
      <c r="C620" s="185" t="n"/>
      <c r="D620" s="185" t="n"/>
      <c r="E620" s="45" t="inlineStr">
        <is>
          <t>– libraries
库</t>
        </is>
      </c>
      <c r="F620" s="53" t="inlineStr">
        <is>
          <t>not applicable</t>
        </is>
      </c>
      <c r="G620" s="55" t="n"/>
      <c r="H620" s="47" t="n"/>
      <c r="I620" s="47" t="n"/>
      <c r="J620" s="49" t="n"/>
      <c r="K620" s="49" t="n"/>
      <c r="L620" s="49" t="n"/>
      <c r="M620" s="49" t="n"/>
    </row>
    <row r="621" outlineLevel="1" ht="28.5" customFormat="1" customHeight="1" s="36">
      <c r="A621" s="37">
        <f>A617&amp;"_"&amp;B621</f>
        <v/>
      </c>
      <c r="B621" s="42" t="n">
        <v>3</v>
      </c>
      <c r="C621" s="185" t="n"/>
      <c r="D621" s="185" t="n"/>
      <c r="E621" s="45" t="inlineStr">
        <is>
          <t>– middleware
中间件</t>
        </is>
      </c>
      <c r="F621" s="53" t="inlineStr">
        <is>
          <t>not applicable</t>
        </is>
      </c>
      <c r="G621" s="55" t="n"/>
      <c r="H621" s="47" t="n"/>
      <c r="I621" s="47" t="n"/>
      <c r="J621" s="49" t="n"/>
      <c r="K621" s="49" t="n"/>
      <c r="L621" s="49" t="n"/>
      <c r="M621" s="49" t="n"/>
    </row>
    <row r="622" outlineLevel="1" ht="28.5" customFormat="1" customHeight="1" s="36">
      <c r="A622" s="37">
        <f>A617&amp;"_"&amp;B622</f>
        <v/>
      </c>
      <c r="B622" s="50" t="n">
        <v>4</v>
      </c>
      <c r="C622" s="185" t="n"/>
      <c r="D622" s="185" t="n"/>
      <c r="E622" s="45" t="inlineStr">
        <is>
          <t>– basic software
基本软件</t>
        </is>
      </c>
      <c r="F622" s="53" t="inlineStr">
        <is>
          <t>not applicable</t>
        </is>
      </c>
      <c r="G622" s="46" t="n"/>
      <c r="H622" s="47" t="n"/>
      <c r="I622" s="47" t="n"/>
      <c r="J622" s="48" t="n"/>
      <c r="K622" s="49" t="n"/>
      <c r="L622" s="49" t="n"/>
      <c r="M622" s="49" t="n"/>
    </row>
    <row r="623" outlineLevel="1" ht="43.5" customFormat="1" customHeight="1" s="36">
      <c r="A623" s="37">
        <f>A617&amp;"_"&amp;B623</f>
        <v/>
      </c>
      <c r="B623" s="42" t="n">
        <v>5</v>
      </c>
      <c r="C623" s="185" t="n"/>
      <c r="D623" s="185" t="n"/>
      <c r="E623" s="45" t="inlineStr">
        <is>
          <t xml:space="preserve">– operating system including scheduler
——包含调度器的操作系统
</t>
        </is>
      </c>
      <c r="F623" s="53" t="inlineStr">
        <is>
          <t>not applicable</t>
        </is>
      </c>
      <c r="G623" s="55" t="n"/>
      <c r="H623" s="47" t="n"/>
      <c r="I623" s="47" t="n"/>
      <c r="J623" s="49" t="n"/>
      <c r="K623" s="49" t="n"/>
      <c r="L623" s="49" t="n"/>
      <c r="M623" s="49" t="n"/>
    </row>
    <row r="624" outlineLevel="1" ht="28.5" customFormat="1" customHeight="1" s="36">
      <c r="A624" s="37">
        <f>A617&amp;"_"&amp;B624</f>
        <v/>
      </c>
      <c r="B624" s="50" t="n">
        <v>6</v>
      </c>
      <c r="C624" s="185" t="n"/>
      <c r="D624" s="185" t="n"/>
      <c r="E624" s="45" t="inlineStr">
        <is>
          <t>– communication stack
通信协议栈</t>
        </is>
      </c>
      <c r="F624" s="53" t="inlineStr">
        <is>
          <t>not applicable</t>
        </is>
      </c>
      <c r="G624" s="46" t="n"/>
      <c r="H624" s="47" t="n"/>
      <c r="I624" s="47" t="n"/>
      <c r="J624" s="48" t="n"/>
      <c r="K624" s="49" t="n"/>
      <c r="L624" s="49" t="n"/>
      <c r="M624" s="49" t="n"/>
    </row>
    <row r="625" outlineLevel="1" ht="29" customFormat="1" customHeight="1" s="36">
      <c r="A625" s="37">
        <f>A617&amp;"_"&amp;B625</f>
        <v/>
      </c>
      <c r="B625" s="42" t="n">
        <v>7</v>
      </c>
      <c r="C625" s="185" t="n"/>
      <c r="D625" s="185" t="n"/>
      <c r="E625" s="45" t="inlineStr">
        <is>
          <t xml:space="preserve">– parameter file参数文件
</t>
        </is>
      </c>
      <c r="F625" s="53" t="inlineStr">
        <is>
          <t>not applicable</t>
        </is>
      </c>
      <c r="G625" s="55" t="n"/>
      <c r="H625" s="47" t="n"/>
      <c r="I625" s="47" t="n"/>
      <c r="J625" s="49" t="n"/>
      <c r="K625" s="49" t="n"/>
      <c r="L625" s="49" t="n"/>
      <c r="M625" s="49" t="n"/>
    </row>
    <row r="626" outlineLevel="1" ht="28.5" customFormat="1" customHeight="1" s="36">
      <c r="A626" s="37">
        <f>A617&amp;"_"&amp;B626</f>
        <v/>
      </c>
      <c r="B626" s="50" t="n">
        <v>8</v>
      </c>
      <c r="C626" s="185" t="n"/>
      <c r="D626" s="185" t="n"/>
      <c r="E626" s="45" t="inlineStr">
        <is>
          <t>– execution time
执行时间</t>
        </is>
      </c>
      <c r="F626" s="53" t="inlineStr">
        <is>
          <t>not applicable</t>
        </is>
      </c>
      <c r="G626" s="55" t="n"/>
      <c r="H626" s="47" t="n"/>
      <c r="I626" s="47" t="n"/>
      <c r="J626" s="49" t="n"/>
      <c r="K626" s="49" t="n"/>
      <c r="L626" s="49" t="n"/>
      <c r="M626" s="49" t="n"/>
    </row>
    <row r="627" outlineLevel="1" ht="26" customFormat="1" customHeight="1" s="36">
      <c r="A627" s="37">
        <f>A617&amp;"_"&amp;B627</f>
        <v/>
      </c>
      <c r="B627" s="42" t="n">
        <v>9</v>
      </c>
      <c r="C627" s="186" t="n"/>
      <c r="D627" s="186" t="n"/>
      <c r="E627" s="45" t="inlineStr">
        <is>
          <t>– allocated memory</t>
        </is>
      </c>
      <c r="F627" s="53" t="inlineStr">
        <is>
          <t>not applicable</t>
        </is>
      </c>
      <c r="G627" s="55" t="n"/>
      <c r="H627" s="47" t="n"/>
      <c r="I627" s="47" t="n"/>
      <c r="J627" s="49" t="n"/>
      <c r="K627" s="49" t="n"/>
      <c r="L627" s="49" t="n"/>
      <c r="M627" s="49" t="n"/>
    </row>
    <row r="628" outlineLevel="1" ht="28.5" customFormat="1" customHeight="1" s="36">
      <c r="A628" s="37">
        <f>A617&amp;"_"&amp;B628</f>
        <v/>
      </c>
      <c r="B628" s="50" t="n">
        <v>10</v>
      </c>
      <c r="C628" s="187" t="inlineStr">
        <is>
          <t>Components of
identical type</t>
        </is>
      </c>
      <c r="D628" s="187" t="inlineStr">
        <is>
          <t>Identical components may fail with higher probability simultaneously (common mode failures)</t>
        </is>
      </c>
      <c r="E628" s="45" t="inlineStr">
        <is>
          <t>• Reused standard software modules
重复使用的标准软件模块</t>
        </is>
      </c>
      <c r="F628" s="53" t="inlineStr">
        <is>
          <t>not applicable</t>
        </is>
      </c>
      <c r="G628" s="46" t="n"/>
      <c r="H628" s="47" t="n"/>
      <c r="I628" s="47" t="n"/>
      <c r="J628" s="48" t="n"/>
      <c r="K628" s="49" t="n"/>
      <c r="L628" s="49" t="n"/>
      <c r="M628" s="49" t="n"/>
    </row>
    <row r="629" outlineLevel="1" ht="28.5" customFormat="1" customHeight="1" s="36">
      <c r="A629" s="37">
        <f>A617&amp;"_"&amp;B629</f>
        <v/>
      </c>
      <c r="B629" s="42" t="n">
        <v>11</v>
      </c>
      <c r="C629" s="185" t="n"/>
      <c r="D629" s="185" t="n"/>
      <c r="E629" s="45" t="inlineStr">
        <is>
          <t>• Standard library components
标准库组件</t>
        </is>
      </c>
      <c r="F629" s="53" t="inlineStr">
        <is>
          <t>not applicable</t>
        </is>
      </c>
      <c r="G629" s="46" t="n"/>
      <c r="H629" s="47" t="n"/>
      <c r="I629" s="47" t="n"/>
      <c r="J629" s="48" t="n"/>
      <c r="K629" s="49" t="n"/>
      <c r="L629" s="49" t="n"/>
      <c r="M629" s="49" t="n"/>
    </row>
    <row r="630" outlineLevel="1" ht="28.5" customFormat="1" customHeight="1" s="36">
      <c r="A630" s="37">
        <f>A617&amp;"_"&amp;B630</f>
        <v/>
      </c>
      <c r="B630" s="50" t="n">
        <v>12</v>
      </c>
      <c r="C630" s="185" t="n"/>
      <c r="D630" s="185" t="n"/>
      <c r="E630" s="45" t="inlineStr">
        <is>
          <t>• Middleware
中间件</t>
        </is>
      </c>
      <c r="F630" s="53" t="inlineStr">
        <is>
          <t>not applicable</t>
        </is>
      </c>
      <c r="G630" s="55" t="n"/>
      <c r="H630" s="47" t="n"/>
      <c r="I630" s="47" t="n"/>
      <c r="J630" s="49" t="n"/>
      <c r="K630" s="49" t="n"/>
      <c r="L630" s="49" t="n"/>
      <c r="M630" s="49" t="n"/>
    </row>
    <row r="631" outlineLevel="1" ht="28.5" customFormat="1" customHeight="1" s="36">
      <c r="A631" s="37">
        <f>A617&amp;"_"&amp;B631</f>
        <v/>
      </c>
      <c r="B631" s="42" t="n">
        <v>13</v>
      </c>
      <c r="C631" s="185" t="n"/>
      <c r="D631" s="185" t="n"/>
      <c r="E631" s="45" t="inlineStr">
        <is>
          <t>• Operating system
操作系统</t>
        </is>
      </c>
      <c r="F631" s="53" t="inlineStr">
        <is>
          <t>not applicable</t>
        </is>
      </c>
      <c r="G631" s="55" t="n"/>
      <c r="H631" s="47" t="n"/>
      <c r="I631" s="47" t="n"/>
      <c r="J631" s="49" t="n"/>
      <c r="K631" s="49" t="n"/>
      <c r="L631" s="49" t="n"/>
      <c r="M631" s="49" t="n"/>
    </row>
    <row r="632" outlineLevel="1" ht="28.5" customFormat="1" customHeight="1" s="36">
      <c r="A632" s="37">
        <f>A617&amp;"_"&amp;B632</f>
        <v/>
      </c>
      <c r="B632" s="50" t="n">
        <v>14</v>
      </c>
      <c r="C632" s="185" t="n"/>
      <c r="D632" s="185" t="n"/>
      <c r="E632" s="45" t="inlineStr">
        <is>
          <t>• Communication stack
通信栈</t>
        </is>
      </c>
      <c r="F632" s="53" t="inlineStr">
        <is>
          <t>not applicable</t>
        </is>
      </c>
      <c r="G632" s="55" t="n"/>
      <c r="H632" s="47" t="n"/>
      <c r="I632" s="47" t="n"/>
      <c r="J632" s="49" t="n"/>
      <c r="K632" s="49" t="n"/>
      <c r="L632" s="49" t="n"/>
      <c r="M632" s="49" t="n"/>
    </row>
    <row r="633" outlineLevel="1" ht="58" customFormat="1" customHeight="1" s="36">
      <c r="A633" s="37">
        <f>A617&amp;"_"&amp;B633</f>
        <v/>
      </c>
      <c r="B633" s="42" t="n">
        <v>15</v>
      </c>
      <c r="C633" s="186" t="n"/>
      <c r="D633" s="186" t="n"/>
      <c r="E633" s="45" t="inlineStr">
        <is>
          <t xml:space="preserve">
• Parameter set
参数设置
</t>
        </is>
      </c>
      <c r="F633" s="53" t="inlineStr">
        <is>
          <t>not applicable</t>
        </is>
      </c>
      <c r="G633" s="55" t="n"/>
      <c r="H633" s="47" t="n"/>
      <c r="I633" s="47" t="n"/>
      <c r="J633" s="49" t="n"/>
      <c r="K633" s="49" t="n"/>
      <c r="L633" s="49" t="n"/>
      <c r="M633" s="49" t="n"/>
    </row>
    <row r="634" outlineLevel="1" ht="100.5" customFormat="1" customHeight="1" s="36">
      <c r="A634" s="37">
        <f>A617&amp;"_"&amp;B634</f>
        <v/>
      </c>
      <c r="B634" s="50" t="n">
        <v>16</v>
      </c>
      <c r="C634" s="187" t="inlineStr">
        <is>
          <t>Communication
between the two
functions</t>
        </is>
      </c>
      <c r="D634" s="184" t="inlineStr">
        <is>
          <t>Receiving function is affected by information that is false, lost, sent multiple times, or in the wrong order etc. from the sender</t>
        </is>
      </c>
      <c r="E634"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634" s="45" t="inlineStr">
        <is>
          <t xml:space="preserve">Yes </t>
        </is>
      </c>
      <c r="G634" s="46" t="inlineStr">
        <is>
          <t>LinkerTimeOut模块失效后会导致在异常通信丢失的情况下无法检测到通信问题，传递给位置制动控制模块，违背安全目标SG01,SG02,SG03</t>
        </is>
      </c>
      <c r="H634" s="47" t="inlineStr">
        <is>
          <t xml:space="preserve">1：支持硬线制动灯点亮：
</t>
        </is>
      </c>
      <c r="I634" s="47" t="inlineStr">
        <is>
          <t>SW_DFA_SM_001</t>
        </is>
      </c>
      <c r="J634" s="48" t="inlineStr">
        <is>
          <t>通过集成测试</t>
        </is>
      </c>
      <c r="K634" s="49" t="inlineStr">
        <is>
          <t>满足ASILB开发和测试</t>
        </is>
      </c>
      <c r="L634" s="49" t="n"/>
      <c r="M634" s="49" t="n"/>
    </row>
    <row r="635" outlineLevel="1" ht="72.5" customFormat="1" customHeight="1" s="36">
      <c r="A635" s="37">
        <f>A617&amp;"_"&amp;B635</f>
        <v/>
      </c>
      <c r="B635" s="42" t="n">
        <v>17</v>
      </c>
      <c r="C635" s="185" t="n"/>
      <c r="D635" s="185" t="n"/>
      <c r="E635" s="45" t="inlineStr">
        <is>
          <t>• Data or message corruption/ repetition*/ loss*/ delay*/ masquerading or incorrect addressing of information*
数据或信息的损坏/重复/丢失/延迟/伪装或信息的错误标识*</t>
        </is>
      </c>
      <c r="F635" s="53" t="inlineStr">
        <is>
          <t>not applicable</t>
        </is>
      </c>
      <c r="G635" s="55" t="n"/>
      <c r="H635" s="47" t="n"/>
      <c r="I635" s="47" t="n"/>
      <c r="J635" s="49" t="n"/>
      <c r="K635" s="49" t="n"/>
      <c r="L635" s="49" t="n"/>
      <c r="M635" s="49" t="n"/>
    </row>
    <row r="636" outlineLevel="1" ht="49" customFormat="1" customHeight="1" s="36">
      <c r="A636" s="37">
        <f>A617&amp;"_"&amp;B636</f>
        <v/>
      </c>
      <c r="B636" s="50" t="n">
        <v>18</v>
      </c>
      <c r="C636" s="185" t="n"/>
      <c r="D636" s="185" t="n"/>
      <c r="E636" s="45" t="inlineStr">
        <is>
          <t>• Insertion*/ sequence of information*
插入* / 信息序列*</t>
        </is>
      </c>
      <c r="F636" s="53" t="inlineStr">
        <is>
          <t>not applicable</t>
        </is>
      </c>
      <c r="G636" s="55" t="n"/>
      <c r="H636" s="47" t="n"/>
      <c r="I636" s="47" t="n"/>
      <c r="J636" s="49" t="n"/>
      <c r="K636" s="49" t="n"/>
      <c r="L636" s="49" t="n"/>
      <c r="M636" s="49" t="n"/>
    </row>
    <row r="637" outlineLevel="1" ht="48" customFormat="1" customHeight="1" s="36">
      <c r="A637" s="37">
        <f>A617&amp;"_"&amp;B637</f>
        <v/>
      </c>
      <c r="B637" s="42" t="n">
        <v>19</v>
      </c>
      <c r="C637" s="185" t="n"/>
      <c r="D637" s="185" t="n"/>
      <c r="E637" s="45" t="inlineStr">
        <is>
          <t>• Corruption of information*
信息的失真*</t>
        </is>
      </c>
      <c r="F637" s="53" t="inlineStr">
        <is>
          <t>not applicable</t>
        </is>
      </c>
      <c r="G637" s="55" t="n"/>
      <c r="H637" s="47" t="n"/>
      <c r="I637" s="47" t="n"/>
      <c r="J637" s="49" t="n"/>
      <c r="K637" s="49" t="n"/>
      <c r="L637" s="49" t="n"/>
      <c r="M637" s="49" t="n"/>
    </row>
    <row r="638" outlineLevel="1" ht="48" customFormat="1" customHeight="1" s="36">
      <c r="A638" s="37">
        <f>A617&amp;"_"&amp;B638</f>
        <v/>
      </c>
      <c r="B638" s="50" t="n">
        <v>20</v>
      </c>
      <c r="C638" s="185" t="n"/>
      <c r="D638" s="185" t="n"/>
      <c r="E638" s="45" t="inlineStr">
        <is>
          <t>• Asymmetric information sent from a sender to multiple receivers*
从发送者传向多个接收者的不对称信息*</t>
        </is>
      </c>
      <c r="F638" s="53" t="inlineStr">
        <is>
          <t>not applicable</t>
        </is>
      </c>
      <c r="G638" s="55" t="n"/>
      <c r="H638" s="47" t="n"/>
      <c r="I638" s="47" t="n"/>
      <c r="J638" s="49" t="n"/>
      <c r="K638" s="49" t="n"/>
      <c r="L638" s="49" t="n"/>
      <c r="M638" s="49" t="n"/>
    </row>
    <row r="639" outlineLevel="1" ht="48" customFormat="1" customHeight="1" s="36">
      <c r="A639" s="37">
        <f>A617&amp;"_"&amp;B639</f>
        <v/>
      </c>
      <c r="B639" s="42" t="n">
        <v>21</v>
      </c>
      <c r="C639" s="185" t="n"/>
      <c r="D639" s="185" t="n"/>
      <c r="E639" s="45" t="inlineStr">
        <is>
          <t>• Information from a sender received by only a subset of the receivers*
仅部分接收者接收到的来自发送者的信息*</t>
        </is>
      </c>
      <c r="F639" s="53" t="inlineStr">
        <is>
          <t>not applicable</t>
        </is>
      </c>
      <c r="G639" s="55" t="n"/>
      <c r="H639" s="47" t="n"/>
      <c r="I639" s="47" t="n"/>
      <c r="J639" s="49" t="n"/>
      <c r="K639" s="49" t="n"/>
      <c r="L639" s="49" t="n"/>
      <c r="M639" s="49" t="n"/>
    </row>
    <row r="640" outlineLevel="1" ht="43.5" customFormat="1" customHeight="1" s="36">
      <c r="A640" s="37">
        <f>A617&amp;"_"&amp;B640</f>
        <v/>
      </c>
      <c r="B640" s="50" t="n">
        <v>22</v>
      </c>
      <c r="C640" s="186" t="n"/>
      <c r="D640" s="186" t="n"/>
      <c r="E640" s="45" t="inlineStr">
        <is>
          <t>• Blocking access to a communication channel*
阻止对通信通道的访问*</t>
        </is>
      </c>
      <c r="F640" s="53" t="inlineStr">
        <is>
          <t>not applicable</t>
        </is>
      </c>
      <c r="G640" s="46" t="n"/>
      <c r="H640" s="47" t="n"/>
      <c r="I640" s="47" t="n"/>
      <c r="J640" s="48" t="n"/>
      <c r="K640" s="49" t="n"/>
      <c r="L640" s="49" t="n"/>
      <c r="M640" s="49" t="n"/>
    </row>
    <row r="641" outlineLevel="1" ht="45" customFormat="1" customHeight="1" s="36">
      <c r="A641" s="37">
        <f>A617&amp;"_"&amp;B641</f>
        <v/>
      </c>
      <c r="B641" s="42" t="n">
        <v>23</v>
      </c>
      <c r="C641" s="187" t="inlineStr">
        <is>
          <t>Shared information
inputs</t>
        </is>
      </c>
      <c r="D641" s="187" t="inlineStr">
        <is>
          <t>Same information consumed by the two functions even in absence of shared resources, i.e. from a functional perspective</t>
        </is>
      </c>
      <c r="E641" s="45" t="inlineStr">
        <is>
          <t>• Calibration parameters
标准参数</t>
        </is>
      </c>
      <c r="F641" s="53" t="inlineStr">
        <is>
          <t>not applicable</t>
        </is>
      </c>
      <c r="G641" s="55" t="n"/>
      <c r="H641" s="47" t="n"/>
      <c r="I641" s="47" t="n"/>
      <c r="J641" s="49" t="n"/>
      <c r="K641" s="49" t="n"/>
      <c r="L641" s="49" t="n"/>
      <c r="M641" s="49" t="n"/>
    </row>
    <row r="642" outlineLevel="1" ht="70" customFormat="1" customHeight="1" s="36">
      <c r="A642" s="37">
        <f>A617&amp;"_"&amp;B642</f>
        <v/>
      </c>
      <c r="B642" s="50" t="n">
        <v>24</v>
      </c>
      <c r="C642" s="185" t="n"/>
      <c r="D642" s="185" t="n"/>
      <c r="E642" s="45" t="inlineStr">
        <is>
          <t>• Constants, or variables, being global to the two software functions
常量或变量对于这两个软件功能而言是全局性的。</t>
        </is>
      </c>
      <c r="F642" s="45" t="inlineStr">
        <is>
          <t xml:space="preserve">Yes </t>
        </is>
      </c>
      <c r="G642" s="46" t="inlineStr">
        <is>
          <t>LinkerTimeOut模块失效后会导致在异常通信丢失的情况下无法检测到通信问题，传递给位置制动控制模块，违背安全目标SG01,SG02,SG03</t>
        </is>
      </c>
      <c r="H642" s="47" t="inlineStr">
        <is>
          <t xml:space="preserve">1：支持硬线制动灯点亮：
</t>
        </is>
      </c>
      <c r="I642" s="47" t="inlineStr">
        <is>
          <t>SW_DFA_SM_001</t>
        </is>
      </c>
      <c r="J642" s="48" t="inlineStr">
        <is>
          <t>通过集成测试</t>
        </is>
      </c>
      <c r="K642" s="49" t="inlineStr">
        <is>
          <t>满足ASILB开发和测试</t>
        </is>
      </c>
      <c r="L642" s="49" t="n"/>
      <c r="M642" s="49" t="n"/>
    </row>
    <row r="643" outlineLevel="1" ht="100" customFormat="1" customHeight="1" s="36">
      <c r="A643" s="37">
        <f>A617&amp;"_"&amp;B643</f>
        <v/>
      </c>
      <c r="B643" s="42" t="n">
        <v>25</v>
      </c>
      <c r="C643" s="185" t="n"/>
      <c r="D643" s="185" t="n"/>
      <c r="E643" s="45" t="inlineStr">
        <is>
          <t>• Basic software passes data (read from hardware register and converted into logical information) to two application software functions
基础软件会将数据（从硬件寄存器读取并转换为逻辑信息）传递给两个应用程序软件功能。</t>
        </is>
      </c>
      <c r="F643" s="53" t="inlineStr">
        <is>
          <t>not applicable</t>
        </is>
      </c>
      <c r="G643" s="55" t="n"/>
      <c r="H643" s="47" t="n"/>
      <c r="I643" s="47" t="n"/>
      <c r="J643" s="49" t="n"/>
      <c r="K643" s="49" t="n"/>
      <c r="L643" s="49" t="n"/>
      <c r="M643" s="49" t="n"/>
    </row>
    <row r="644" outlineLevel="1" ht="115.5" customFormat="1" customHeight="1" s="36">
      <c r="A644" s="37">
        <f>A617&amp;"_"&amp;B644</f>
        <v/>
      </c>
      <c r="B644" s="50" t="n">
        <v>26</v>
      </c>
      <c r="C644" s="186" t="n"/>
      <c r="D644" s="186" t="n"/>
      <c r="E644"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644" s="53" t="inlineStr">
        <is>
          <t>not applicable</t>
        </is>
      </c>
      <c r="G644" s="55" t="n"/>
      <c r="H644" s="47" t="n"/>
      <c r="I644" s="47" t="n"/>
      <c r="J644" s="49" t="n"/>
      <c r="K644" s="49" t="n"/>
      <c r="L644" s="49" t="n"/>
      <c r="M644" s="49" t="n"/>
    </row>
    <row r="645" outlineLevel="1" ht="68.5" customFormat="1" customHeight="1" s="36">
      <c r="A645" s="37">
        <f>A617&amp;"_"&amp;B645</f>
        <v/>
      </c>
      <c r="B645" s="42" t="n">
        <v>27</v>
      </c>
      <c r="C645" s="187" t="inlineStr">
        <is>
          <t>Environmental
influences</t>
        </is>
      </c>
      <c r="D645" s="184" t="inlineStr">
        <is>
          <t>Common external environmental disturbance affects both functions</t>
        </is>
      </c>
      <c r="E645" s="45" t="inlineStr">
        <is>
          <t xml:space="preserve">System-level: mechanical shock, water ingress
 系统层面：机械震动、进水                                                                                                                                                                </t>
        </is>
      </c>
      <c r="F645" s="53" t="inlineStr">
        <is>
          <t>not applicable</t>
        </is>
      </c>
      <c r="G645" s="55" t="n"/>
      <c r="H645" s="47" t="n"/>
      <c r="I645" s="47" t="n"/>
      <c r="J645" s="49" t="n"/>
      <c r="K645" s="49" t="n"/>
      <c r="L645" s="49" t="n"/>
      <c r="M645" s="49" t="n"/>
    </row>
    <row r="646" outlineLevel="1" ht="28.5" customFormat="1" customHeight="1" s="36">
      <c r="A646" s="37">
        <f>A617&amp;"_"&amp;B646</f>
        <v/>
      </c>
      <c r="B646" s="50" t="n">
        <v>28</v>
      </c>
      <c r="C646" s="185" t="n"/>
      <c r="D646" s="185" t="n"/>
      <c r="E646" s="45" t="inlineStr">
        <is>
          <t>Software-level: not applicable for Software
软件层面：不适用于软件</t>
        </is>
      </c>
      <c r="F646" s="53" t="inlineStr">
        <is>
          <t>not applicable</t>
        </is>
      </c>
      <c r="G646" s="55" t="n"/>
      <c r="H646" s="47" t="n"/>
      <c r="I646" s="47" t="n"/>
      <c r="J646" s="49" t="n"/>
      <c r="K646" s="49" t="n"/>
      <c r="L646" s="49" t="n"/>
      <c r="M646" s="49" t="n"/>
    </row>
    <row r="647" outlineLevel="1" ht="43" customFormat="1" customHeight="1" s="36">
      <c r="A647" s="37">
        <f>A617&amp;"_"&amp;B647</f>
        <v/>
      </c>
      <c r="B647" s="42" t="n">
        <v>29</v>
      </c>
      <c r="C647" s="186" t="n"/>
      <c r="D647" s="186" t="n"/>
      <c r="E647" s="45" t="inlineStr">
        <is>
          <t>Hardware-level: under and over voltage of the power supply        
硬件层面：电源的欠压和过压情况</t>
        </is>
      </c>
      <c r="F647" s="53" t="inlineStr">
        <is>
          <t>not applicable</t>
        </is>
      </c>
      <c r="G647" s="55" t="n"/>
      <c r="H647" s="47" t="n"/>
      <c r="I647" s="47" t="n"/>
      <c r="J647" s="49" t="n"/>
      <c r="K647" s="49" t="n"/>
      <c r="L647" s="49" t="n"/>
      <c r="M647" s="49" t="n"/>
    </row>
    <row r="648" outlineLevel="1" ht="72.5" customFormat="1" customHeight="1" s="36">
      <c r="A648" s="37">
        <f>A617&amp;"_"&amp;B648</f>
        <v/>
      </c>
      <c r="B648" s="50" t="n">
        <v>30</v>
      </c>
      <c r="C648" s="187" t="inlineStr">
        <is>
          <t>Unintended impact</t>
        </is>
      </c>
      <c r="D648" s="187" t="inlineStr">
        <is>
          <t>Two functions affecting each other’s elements directly via an implicit, that is unintended interface.</t>
        </is>
      </c>
      <c r="E648" s="45" t="inlineStr">
        <is>
          <t>• Memory / corruption of content*
– “wild pointers“ (including program counter stack)
内存/内容损坏*
——“失控指针”（包括程序计数器栈</t>
        </is>
      </c>
      <c r="F648" s="45" t="inlineStr">
        <is>
          <t xml:space="preserve">Yes </t>
        </is>
      </c>
      <c r="G648" s="46" t="inlineStr">
        <is>
          <t>LinkerTimeOut模块失效后会导致在异常通信丢失的情况下无法检测到通信问题，传递给位置制动控制模块，违背安全目标SG01,SG02,SG03</t>
        </is>
      </c>
      <c r="H648" s="47" t="inlineStr">
        <is>
          <t>1：支持硬线制动灯点亮：
2：支持外部看门狗</t>
        </is>
      </c>
      <c r="I648" s="47" t="inlineStr">
        <is>
          <t>SW_DFA_SM_001 
SW_DFA_SM_004</t>
        </is>
      </c>
      <c r="J648" s="48" t="inlineStr">
        <is>
          <t>通过集成测试</t>
        </is>
      </c>
      <c r="K648" s="49" t="inlineStr">
        <is>
          <t>满足ASILB开发和测试</t>
        </is>
      </c>
      <c r="L648" s="49" t="n"/>
      <c r="M648" s="49" t="n"/>
    </row>
    <row r="649" outlineLevel="1" ht="70" customFormat="1" customHeight="1" s="36">
      <c r="A649" s="37">
        <f>A617&amp;"_"&amp;B649</f>
        <v/>
      </c>
      <c r="B649" s="42" t="n">
        <v>31</v>
      </c>
      <c r="C649" s="185" t="n"/>
      <c r="D649" s="185" t="n"/>
      <c r="E649" s="45" t="inlineStr">
        <is>
          <t>– memory mis-allocation
——内存分配错误</t>
        </is>
      </c>
      <c r="F649" s="45" t="inlineStr">
        <is>
          <t xml:space="preserve">Yes </t>
        </is>
      </c>
      <c r="G649" s="46" t="inlineStr">
        <is>
          <t>LinkerTimeOut模块失效后会导致在异常通信丢失的情况下无法检测到通信问题，传递给位置制动控制模块，违背安全目标SG01,SG02,SG03</t>
        </is>
      </c>
      <c r="H649" s="47" t="inlineStr">
        <is>
          <t>1：支持硬线制动灯点亮：
2：支持外部看门狗</t>
        </is>
      </c>
      <c r="I649" s="47" t="inlineStr">
        <is>
          <t>SW_DFA_SM_001 
SW_DFA_SM_004</t>
        </is>
      </c>
      <c r="J649" s="48" t="inlineStr">
        <is>
          <t>通过集成测试</t>
        </is>
      </c>
      <c r="K649" s="49" t="inlineStr">
        <is>
          <t>满足ASILB开发和测试</t>
        </is>
      </c>
      <c r="L649" s="49" t="n"/>
      <c r="M649" s="49" t="n"/>
    </row>
    <row r="650" outlineLevel="1" ht="70" customFormat="1" customHeight="1" s="36">
      <c r="A650" s="37">
        <f>A617&amp;"_"&amp;B650</f>
        <v/>
      </c>
      <c r="B650" s="50" t="n">
        <v>32</v>
      </c>
      <c r="C650" s="185" t="n"/>
      <c r="D650" s="185" t="n"/>
      <c r="E650" s="45" t="inlineStr">
        <is>
          <t>– memory leaks
内存泄漏</t>
        </is>
      </c>
      <c r="F650" s="45" t="inlineStr">
        <is>
          <t xml:space="preserve">Yes </t>
        </is>
      </c>
      <c r="G650" s="46" t="inlineStr">
        <is>
          <t>LinkerTimeOut模块失效后会导致在异常通信丢失的情况下无法检测到通信问题，传递给位置制动控制模块，违背安全目标SG01,SG02,SG03</t>
        </is>
      </c>
      <c r="H650" s="47" t="inlineStr">
        <is>
          <t>1：支持硬线制动灯点亮：
2：支持外部看门狗</t>
        </is>
      </c>
      <c r="I650" s="47" t="inlineStr">
        <is>
          <t>SW_DFA_SM_001 
SW_DFA_SM_004</t>
        </is>
      </c>
      <c r="J650" s="48" t="inlineStr">
        <is>
          <t>通过集成测试</t>
        </is>
      </c>
      <c r="K650" s="49" t="inlineStr">
        <is>
          <t>满足ASILB开发和测试</t>
        </is>
      </c>
      <c r="L650" s="49" t="n"/>
      <c r="M650" s="49" t="n"/>
    </row>
    <row r="651" outlineLevel="1" ht="58" customFormat="1" customHeight="1" s="36">
      <c r="A651" s="37">
        <f>A617&amp;"_"&amp;B651</f>
        <v/>
      </c>
      <c r="B651" s="42" t="n">
        <v>33</v>
      </c>
      <c r="C651" s="185" t="n"/>
      <c r="D651" s="185" t="n"/>
      <c r="E651" s="45" t="inlineStr">
        <is>
          <t>– read/write access to memory allocated to another software element*
—— 对分配给其他软件组件的内存的读/写访问权限*</t>
        </is>
      </c>
      <c r="F651" s="53" t="inlineStr">
        <is>
          <t>not applicable</t>
        </is>
      </c>
      <c r="G651" s="55" t="n"/>
      <c r="H651" s="47" t="n"/>
      <c r="I651" s="47" t="n"/>
      <c r="J651" s="49" t="n"/>
      <c r="K651" s="49" t="n"/>
      <c r="L651" s="49" t="n"/>
      <c r="M651" s="49" t="n"/>
    </row>
    <row r="652" outlineLevel="1" ht="29" customFormat="1" customHeight="1" s="36">
      <c r="A652" s="37">
        <f>A617&amp;"_"&amp;B652</f>
        <v/>
      </c>
      <c r="B652" s="50" t="n">
        <v>34</v>
      </c>
      <c r="C652" s="185" t="n"/>
      <c r="D652" s="185" t="n"/>
      <c r="E652" s="45" t="inlineStr">
        <is>
          <t>– buffer under-/overflow
– 缓冲区下溢/上溢</t>
        </is>
      </c>
      <c r="F652" s="53" t="inlineStr">
        <is>
          <t>not applicable</t>
        </is>
      </c>
      <c r="G652" s="55" t="n"/>
      <c r="H652" s="47" t="n"/>
      <c r="I652" s="47" t="n"/>
      <c r="J652" s="49" t="n"/>
      <c r="K652" s="49" t="n"/>
      <c r="L652" s="49" t="n"/>
      <c r="M652" s="49" t="n"/>
    </row>
    <row r="653" outlineLevel="1" ht="57.5" customFormat="1" customHeight="1" s="36">
      <c r="A653" s="37">
        <f>A617&amp;"_"&amp;B653</f>
        <v/>
      </c>
      <c r="B653" s="42" t="n">
        <v>35</v>
      </c>
      <c r="C653" s="185" t="n"/>
      <c r="D653" s="185" t="n"/>
      <c r="E653" s="45" t="inlineStr">
        <is>
          <t>• Timing and execution
– deadlocks*
时机与执行
——死锁*</t>
        </is>
      </c>
      <c r="F653" s="53" t="inlineStr">
        <is>
          <t>not applicable</t>
        </is>
      </c>
      <c r="G653" s="55" t="n"/>
      <c r="H653" s="47" t="n"/>
      <c r="I653" s="47" t="n"/>
      <c r="J653" s="49" t="n"/>
      <c r="K653" s="49" t="n"/>
      <c r="L653" s="49" t="n"/>
      <c r="M653" s="49" t="n"/>
    </row>
    <row r="654" outlineLevel="1" ht="28.5" customFormat="1" customHeight="1" s="36">
      <c r="A654" s="37">
        <f>A617&amp;"_"&amp;B654</f>
        <v/>
      </c>
      <c r="B654" s="50" t="n">
        <v>36</v>
      </c>
      <c r="C654" s="185" t="n"/>
      <c r="D654" s="185" t="n"/>
      <c r="E654" s="45" t="inlineStr">
        <is>
          <t>– livelocks*
活锁</t>
        </is>
      </c>
      <c r="F654" s="53" t="inlineStr">
        <is>
          <t>not applicable</t>
        </is>
      </c>
      <c r="G654" s="55" t="n"/>
      <c r="H654" s="47" t="n"/>
      <c r="I654" s="47" t="n"/>
      <c r="J654" s="49" t="n"/>
      <c r="K654" s="49" t="n"/>
      <c r="L654" s="49" t="n"/>
      <c r="M654" s="49" t="n"/>
    </row>
    <row r="655" outlineLevel="1" ht="29" customFormat="1" customHeight="1" s="36">
      <c r="A655" s="37">
        <f>A617&amp;"_"&amp;B655</f>
        <v/>
      </c>
      <c r="B655" s="42" t="n">
        <v>37</v>
      </c>
      <c r="C655" s="185" t="n"/>
      <c r="D655" s="185" t="n"/>
      <c r="E655" s="45" t="inlineStr">
        <is>
          <t>– incorrect allocation of execution time*
——执行时间分配不当*</t>
        </is>
      </c>
      <c r="F655" s="53" t="inlineStr">
        <is>
          <t>not applicable</t>
        </is>
      </c>
      <c r="G655" s="55" t="n"/>
      <c r="H655" s="47" t="n"/>
      <c r="I655" s="47" t="n"/>
      <c r="J655" s="49" t="n"/>
      <c r="K655" s="49" t="n"/>
      <c r="L655" s="49" t="n"/>
      <c r="M655" s="49" t="n"/>
    </row>
    <row r="656" outlineLevel="1" ht="43.5" customFormat="1" customHeight="1" s="36">
      <c r="A656" s="37">
        <f>A617&amp;"_"&amp;B656</f>
        <v/>
      </c>
      <c r="B656" s="50" t="n">
        <v>38</v>
      </c>
      <c r="C656" s="186" t="n"/>
      <c r="D656" s="186" t="n"/>
      <c r="E656" s="45" t="inlineStr">
        <is>
          <t>– incorrect synchronization between software elements*
——软件各组成部分之间的同步不正确*</t>
        </is>
      </c>
      <c r="F656" s="53" t="inlineStr">
        <is>
          <t>not applicable</t>
        </is>
      </c>
      <c r="G656" s="46" t="n"/>
      <c r="H656" s="47" t="n"/>
      <c r="I656" s="47" t="n"/>
      <c r="J656" s="48" t="n"/>
      <c r="K656" s="49" t="n"/>
      <c r="L656" s="49" t="n"/>
      <c r="M656" s="49" t="n"/>
    </row>
    <row r="657" outlineLevel="1" ht="72" customFormat="1" customHeight="1" s="36">
      <c r="A657" s="37">
        <f>A617&amp;"_"&amp;B657</f>
        <v/>
      </c>
      <c r="B657" s="42" t="n">
        <v>39</v>
      </c>
      <c r="C657" s="187" t="inlineStr">
        <is>
          <t>Systematic coupling</t>
        </is>
      </c>
      <c r="D657" s="187" t="inlineStr">
        <is>
          <t>Systematic causes from human or tool errors can lead to the simultaneous failure of more than one function</t>
        </is>
      </c>
      <c r="E657" s="45" t="inlineStr">
        <is>
          <t>• Manufacturing fault / repair fault (e.g. false flashing, false calibration reference for sensors)
制造故障/维修故障（例如：错误的闪烁现象、传感器的错误校准参考值）</t>
        </is>
      </c>
      <c r="F657" s="53" t="inlineStr">
        <is>
          <t>not applicable</t>
        </is>
      </c>
      <c r="G657" s="55" t="n"/>
      <c r="H657" s="47" t="n"/>
      <c r="I657" s="47" t="n"/>
      <c r="J657" s="49" t="n"/>
      <c r="K657" s="49" t="n"/>
      <c r="L657" s="49" t="n"/>
      <c r="M657" s="49" t="n"/>
    </row>
    <row r="658" outlineLevel="1" ht="115.5" customFormat="1" customHeight="1" s="36">
      <c r="A658" s="37">
        <f>A617&amp;"_"&amp;B658</f>
        <v/>
      </c>
      <c r="B658" s="50" t="n">
        <v>40</v>
      </c>
      <c r="C658" s="185" t="n"/>
      <c r="D658" s="185" t="n"/>
      <c r="E658" s="61" t="inlineStr">
        <is>
          <t xml:space="preserve">• Non-diverse development approaches including:
– same software tools (e.g. IDE, compiler, linker)
非多元化的发展方式包括：
——相同的软件工具（例如集成开发环境、编译器、链接器）
</t>
        </is>
      </c>
      <c r="F658" s="45" t="inlineStr">
        <is>
          <t xml:space="preserve">Yes </t>
        </is>
      </c>
      <c r="G658" s="62" t="inlineStr">
        <is>
          <t>代码异常导致的违背安全目标</t>
        </is>
      </c>
      <c r="H658" s="63" t="inlineStr">
        <is>
          <t>工具鉴定</t>
        </is>
      </c>
      <c r="I658" s="63" t="n"/>
      <c r="J658" s="49" t="inlineStr">
        <is>
          <t>通过集成测试</t>
        </is>
      </c>
      <c r="K658" s="68" t="inlineStr">
        <is>
          <t>满足ASILB开发和测试</t>
        </is>
      </c>
      <c r="L658" s="68" t="n"/>
      <c r="M658" s="49" t="n"/>
    </row>
    <row r="659" outlineLevel="1" ht="28.5" customFormat="1" customHeight="1" s="36">
      <c r="A659" s="37">
        <f>A617&amp;"_"&amp;B659</f>
        <v/>
      </c>
      <c r="B659" s="42" t="n">
        <v>41</v>
      </c>
      <c r="C659" s="185" t="n"/>
      <c r="D659" s="185" t="n"/>
      <c r="E659" s="61" t="inlineStr">
        <is>
          <t>– same algorithms
相同的算法</t>
        </is>
      </c>
      <c r="F659" s="53" t="inlineStr">
        <is>
          <t>not applicable</t>
        </is>
      </c>
      <c r="G659" s="46" t="n"/>
      <c r="H659" s="47" t="n"/>
      <c r="I659" s="47" t="n"/>
      <c r="J659" s="48" t="n"/>
      <c r="K659" s="49" t="n"/>
      <c r="L659" s="49" t="n"/>
      <c r="M659" s="49" t="n"/>
    </row>
    <row r="660" outlineLevel="1" ht="43.5" customFormat="1" customHeight="1" s="36">
      <c r="A660" s="37">
        <f>A617&amp;"_"&amp;B660</f>
        <v/>
      </c>
      <c r="B660" s="50" t="n">
        <v>42</v>
      </c>
      <c r="C660" s="185" t="n"/>
      <c r="D660" s="185" t="n"/>
      <c r="E660" s="61" t="inlineStr">
        <is>
          <t>– same programming and/or modelling language used
所使用的编程和/或建模语言相同</t>
        </is>
      </c>
      <c r="F660" s="45" t="inlineStr">
        <is>
          <t xml:space="preserve">Yes </t>
        </is>
      </c>
      <c r="G660" s="62" t="inlineStr">
        <is>
          <t>代码异常导致的违背安全目标</t>
        </is>
      </c>
      <c r="H660" s="63" t="inlineStr">
        <is>
          <t>工具鉴定</t>
        </is>
      </c>
      <c r="I660" s="47" t="n"/>
      <c r="J660" s="49" t="inlineStr">
        <is>
          <t>通过集成测试</t>
        </is>
      </c>
      <c r="K660" s="49" t="inlineStr">
        <is>
          <t>满足ASILB开发和测试</t>
        </is>
      </c>
      <c r="L660" s="49" t="n"/>
      <c r="M660" s="49" t="n"/>
    </row>
    <row r="661" outlineLevel="1" ht="29" customFormat="1" customHeight="1" s="36">
      <c r="A661" s="37">
        <f>A617&amp;"_"&amp;B661</f>
        <v/>
      </c>
      <c r="B661" s="42" t="n">
        <v>43</v>
      </c>
      <c r="C661" s="185" t="n"/>
      <c r="D661" s="185" t="n"/>
      <c r="E661" s="61" t="inlineStr">
        <is>
          <t>– same complier/linker used
使用的是相同的编译器/链接器</t>
        </is>
      </c>
      <c r="F661" s="45" t="inlineStr">
        <is>
          <t xml:space="preserve">Yes </t>
        </is>
      </c>
      <c r="G661" s="62" t="inlineStr">
        <is>
          <t>代码异常导致的违背安全目标</t>
        </is>
      </c>
      <c r="H661" s="63" t="inlineStr">
        <is>
          <t>工具鉴定</t>
        </is>
      </c>
      <c r="I661" s="47" t="n"/>
      <c r="J661" s="49" t="inlineStr">
        <is>
          <t>通过集成测试</t>
        </is>
      </c>
      <c r="K661" s="49" t="inlineStr">
        <is>
          <t>满足ASILB开发和测试</t>
        </is>
      </c>
      <c r="L661" s="49" t="n"/>
      <c r="M661" s="49" t="n"/>
    </row>
    <row r="662" outlineLevel="1" ht="28.5" customFormat="1" customHeight="1" s="36">
      <c r="A662" s="37">
        <f>A617&amp;"_"&amp;B662</f>
        <v/>
      </c>
      <c r="B662" s="50" t="n">
        <v>44</v>
      </c>
      <c r="C662" s="185" t="n"/>
      <c r="D662" s="185" t="n"/>
      <c r="E662" s="45" t="inlineStr">
        <is>
          <t>• Same personnel
相同人员</t>
        </is>
      </c>
      <c r="F662" s="53" t="inlineStr">
        <is>
          <t>not applicable</t>
        </is>
      </c>
      <c r="G662" s="55" t="n"/>
      <c r="H662" s="47" t="n"/>
      <c r="I662" s="47" t="n"/>
      <c r="J662" s="49" t="n"/>
      <c r="K662" s="49" t="n"/>
      <c r="L662" s="49" t="n"/>
      <c r="M662" s="49" t="n"/>
    </row>
    <row r="663" outlineLevel="1" ht="57" customFormat="1" customHeight="1" s="36">
      <c r="A663" s="37">
        <f>A617&amp;"_"&amp;B663</f>
        <v/>
      </c>
      <c r="B663" s="42" t="n">
        <v>45</v>
      </c>
      <c r="C663" s="185" t="n"/>
      <c r="D663" s="185" t="n"/>
      <c r="E663" s="45" t="inlineStr">
        <is>
          <t>• Same social-cultural context (even if different personnel)
相同的社会文化背景（即便人员有所不同）</t>
        </is>
      </c>
      <c r="F663" s="53" t="inlineStr">
        <is>
          <t>not applicable</t>
        </is>
      </c>
      <c r="G663" s="55" t="n"/>
      <c r="H663" s="47" t="n"/>
      <c r="I663" s="47" t="n"/>
      <c r="J663" s="49" t="n"/>
      <c r="K663" s="49" t="n"/>
      <c r="L663" s="49" t="n"/>
      <c r="M663" s="49" t="n"/>
    </row>
    <row r="664" outlineLevel="1" ht="57.5" customFormat="1" customHeight="1" s="36">
      <c r="A664" s="37">
        <f>A617&amp;"_"&amp;B664</f>
        <v/>
      </c>
      <c r="B664" s="50" t="n">
        <v>46</v>
      </c>
      <c r="C664" s="185" t="n"/>
      <c r="D664" s="185" t="n"/>
      <c r="E664" s="45" t="inlineStr">
        <is>
          <t>• Development fault, e.g.
– human error
开发失误，例如：
– 人为错误</t>
        </is>
      </c>
      <c r="F664" s="53" t="inlineStr">
        <is>
          <t>not applicable</t>
        </is>
      </c>
      <c r="G664" s="55" t="n"/>
      <c r="H664" s="47" t="n"/>
      <c r="I664" s="47" t="n"/>
      <c r="J664" s="49" t="n"/>
      <c r="K664" s="49" t="n"/>
      <c r="L664" s="49" t="n"/>
      <c r="M664" s="49" t="n"/>
    </row>
    <row r="665" outlineLevel="1" ht="28.5" customFormat="1" customHeight="1" s="36">
      <c r="A665" s="37">
        <f>A617&amp;"_"&amp;B665</f>
        <v/>
      </c>
      <c r="B665" s="42" t="n">
        <v>47</v>
      </c>
      <c r="C665" s="185" t="n"/>
      <c r="D665" s="185" t="n"/>
      <c r="E665" s="45" t="inlineStr">
        <is>
          <t>– insufficiently qualified personnel
资质不足的人员</t>
        </is>
      </c>
      <c r="F665" s="53" t="inlineStr">
        <is>
          <t>not applicable</t>
        </is>
      </c>
      <c r="G665" s="55" t="n"/>
      <c r="H665" s="47" t="n"/>
      <c r="I665" s="47" t="n"/>
      <c r="J665" s="49" t="n"/>
      <c r="K665" s="49" t="n"/>
      <c r="L665" s="49" t="n"/>
      <c r="M665" s="49" t="n"/>
    </row>
    <row r="666" outlineLevel="1" ht="28.5" customFormat="1" customHeight="1" s="36">
      <c r="A666" s="37">
        <f>A617&amp;"_"&amp;B666</f>
        <v/>
      </c>
      <c r="B666" s="50" t="n">
        <v>48</v>
      </c>
      <c r="C666" s="185" t="n"/>
      <c r="D666" s="185" t="n"/>
      <c r="E666" s="45" t="inlineStr">
        <is>
          <t>– process weaknesses
处理弱点</t>
        </is>
      </c>
      <c r="F666" s="53" t="inlineStr">
        <is>
          <t>not applicable</t>
        </is>
      </c>
      <c r="G666" s="55" t="n"/>
      <c r="H666" s="47" t="n"/>
      <c r="I666" s="47" t="n"/>
      <c r="J666" s="49" t="n"/>
      <c r="K666" s="49" t="n"/>
      <c r="L666" s="49" t="n"/>
      <c r="M666" s="49" t="n"/>
    </row>
    <row r="667" outlineLevel="1" ht="26" customFormat="1" customHeight="1" s="36">
      <c r="A667" s="37">
        <f>A617&amp;"_"&amp;B667</f>
        <v/>
      </c>
      <c r="B667" s="42" t="n">
        <v>49</v>
      </c>
      <c r="C667" s="186" t="n"/>
      <c r="D667" s="186" t="n"/>
      <c r="E667" s="45" t="inlineStr">
        <is>
          <t>– insufficient methods方法不足</t>
        </is>
      </c>
      <c r="F667" s="53" t="inlineStr">
        <is>
          <t>not applicable</t>
        </is>
      </c>
      <c r="G667" s="55" t="n"/>
      <c r="H667" s="47" t="n"/>
      <c r="I667" s="47" t="n"/>
      <c r="J667" s="49" t="n"/>
      <c r="K667" s="49" t="n"/>
      <c r="L667" s="49" t="n"/>
      <c r="M667" s="49" t="n"/>
    </row>
    <row r="668" ht="75" customFormat="1" customHeight="1" s="36">
      <c r="A668" s="67">
        <f>'Top Event'!B17</f>
        <v/>
      </c>
      <c r="B668" s="67" t="n"/>
      <c r="C668" s="67">
        <f>'Top Event'!C17</f>
        <v/>
      </c>
      <c r="D668" s="69">
        <f>'Top Event'!D17</f>
        <v/>
      </c>
      <c r="E668" s="67">
        <f>'Top Event'!E17</f>
        <v/>
      </c>
      <c r="F668" s="66" t="n"/>
      <c r="G668" s="66" t="n"/>
      <c r="H668" s="64" t="n"/>
      <c r="I668" s="64" t="n"/>
      <c r="J668" s="36" t="n"/>
      <c r="K668" s="36" t="n"/>
      <c r="L668" s="36" t="n"/>
      <c r="M668" s="36" t="n"/>
    </row>
    <row r="669" ht="37.25" customFormat="1" customHeight="1" s="36">
      <c r="A669" s="37" t="n"/>
      <c r="B669" s="37" t="n"/>
      <c r="C669" s="38" t="inlineStr">
        <is>
          <t>DF-I Category</t>
        </is>
      </c>
      <c r="D669" s="38" t="inlineStr">
        <is>
          <t>Interpretation</t>
        </is>
      </c>
      <c r="E669" s="38" t="inlineStr">
        <is>
          <t>DF-Initiator Examples</t>
        </is>
      </c>
      <c r="F669" s="38" t="inlineStr">
        <is>
          <t>Applicable?</t>
        </is>
      </c>
      <c r="G669" s="38" t="inlineStr">
        <is>
          <t>safety  goal related</t>
        </is>
      </c>
      <c r="H669" s="39" t="inlineStr">
        <is>
          <t>Counter Measure</t>
        </is>
      </c>
      <c r="I669" s="39" t="inlineStr">
        <is>
          <t>Counter Measure ID</t>
        </is>
      </c>
      <c r="J669" s="38" t="inlineStr">
        <is>
          <t>Evidence</t>
        </is>
      </c>
      <c r="K669" s="38" t="inlineStr">
        <is>
          <t>sufficient?</t>
        </is>
      </c>
      <c r="L669" s="38" t="n"/>
      <c r="M669" s="41" t="inlineStr">
        <is>
          <t>Comment</t>
        </is>
      </c>
    </row>
    <row r="670" outlineLevel="1" ht="86" customFormat="1" customHeight="1" s="36">
      <c r="A670" s="37">
        <f>A668&amp;"_"&amp;B670</f>
        <v/>
      </c>
      <c r="B670" s="42" t="n">
        <v>1</v>
      </c>
      <c r="C670" s="183" t="inlineStr">
        <is>
          <t>Shared resource</t>
        </is>
      </c>
      <c r="D670" s="184" t="inlineStr">
        <is>
          <t>The same software, hardware, or system element instance used by the two elements which are therefore affected by the failure or unavailability of that shared resource, i.e. from a physical perspective.</t>
        </is>
      </c>
      <c r="E670" s="45" t="inlineStr">
        <is>
          <t>Software component used by more than one other software component, e.g.
– reused standard software modules
被多个其他软件组件所使用的软件组件，例如：
– 重复使用的标准软件模块</t>
        </is>
      </c>
      <c r="F670" s="45" t="inlineStr">
        <is>
          <t xml:space="preserve">Yes </t>
        </is>
      </c>
      <c r="G670" s="46" t="inlineStr">
        <is>
          <t>故障检测模块失效后可能导致功能故障情况下无法识别到故障并报警
故障检测模块失效后可能故障情况下无法识别到故障并记录，违背安全目标SG01,SG02,SG03</t>
        </is>
      </c>
      <c r="H670" s="47" t="inlineStr">
        <is>
          <t xml:space="preserve">1：支持硬线制动灯点亮：
</t>
        </is>
      </c>
      <c r="I670" s="47" t="inlineStr">
        <is>
          <t>SW_DFA_SM_001</t>
        </is>
      </c>
      <c r="J670" s="48" t="inlineStr">
        <is>
          <t>通过集成测试</t>
        </is>
      </c>
      <c r="K670" s="49" t="inlineStr">
        <is>
          <t>满足ASILB开发和测试</t>
        </is>
      </c>
      <c r="L670" s="49" t="n"/>
      <c r="M670" s="49" t="n"/>
    </row>
    <row r="671" outlineLevel="1" ht="28.5" customFormat="1" customHeight="1" s="36">
      <c r="A671" s="37">
        <f>A668&amp;"_"&amp;B671</f>
        <v/>
      </c>
      <c r="B671" s="50" t="n">
        <v>2</v>
      </c>
      <c r="C671" s="185" t="n"/>
      <c r="D671" s="185" t="n"/>
      <c r="E671" s="45" t="inlineStr">
        <is>
          <t>– libraries
库</t>
        </is>
      </c>
      <c r="F671" s="53" t="inlineStr">
        <is>
          <t>not applicable</t>
        </is>
      </c>
      <c r="G671" s="55" t="n"/>
      <c r="H671" s="47" t="n"/>
      <c r="I671" s="47" t="n"/>
      <c r="J671" s="49" t="n"/>
      <c r="K671" s="49" t="n"/>
      <c r="L671" s="49" t="n"/>
      <c r="M671" s="49" t="n"/>
    </row>
    <row r="672" outlineLevel="1" ht="28.5" customFormat="1" customHeight="1" s="36">
      <c r="A672" s="37">
        <f>A668&amp;"_"&amp;B672</f>
        <v/>
      </c>
      <c r="B672" s="42" t="n">
        <v>3</v>
      </c>
      <c r="C672" s="185" t="n"/>
      <c r="D672" s="185" t="n"/>
      <c r="E672" s="45" t="inlineStr">
        <is>
          <t>– middleware
中间件</t>
        </is>
      </c>
      <c r="F672" s="53" t="inlineStr">
        <is>
          <t>not applicable</t>
        </is>
      </c>
      <c r="G672" s="55" t="n"/>
      <c r="H672" s="47" t="n"/>
      <c r="I672" s="47" t="n"/>
      <c r="J672" s="49" t="n"/>
      <c r="K672" s="49" t="n"/>
      <c r="L672" s="49" t="n"/>
      <c r="M672" s="49" t="n"/>
    </row>
    <row r="673" outlineLevel="1" ht="28.5" customFormat="1" customHeight="1" s="36">
      <c r="A673" s="37">
        <f>A668&amp;"_"&amp;B673</f>
        <v/>
      </c>
      <c r="B673" s="50" t="n">
        <v>4</v>
      </c>
      <c r="C673" s="185" t="n"/>
      <c r="D673" s="185" t="n"/>
      <c r="E673" s="45" t="inlineStr">
        <is>
          <t>– basic software
基本软件</t>
        </is>
      </c>
      <c r="F673" s="53" t="inlineStr">
        <is>
          <t>not applicable</t>
        </is>
      </c>
      <c r="G673" s="46" t="n"/>
      <c r="H673" s="47" t="n"/>
      <c r="I673" s="47" t="n"/>
      <c r="J673" s="48" t="n"/>
      <c r="K673" s="49" t="n"/>
      <c r="L673" s="49" t="n"/>
      <c r="M673" s="49" t="n"/>
    </row>
    <row r="674" outlineLevel="1" ht="43.5" customFormat="1" customHeight="1" s="36">
      <c r="A674" s="37">
        <f>A668&amp;"_"&amp;B674</f>
        <v/>
      </c>
      <c r="B674" s="42" t="n">
        <v>5</v>
      </c>
      <c r="C674" s="185" t="n"/>
      <c r="D674" s="185" t="n"/>
      <c r="E674" s="45" t="inlineStr">
        <is>
          <t xml:space="preserve">– operating system including scheduler
——包含调度器的操作系统
</t>
        </is>
      </c>
      <c r="F674" s="53" t="inlineStr">
        <is>
          <t>not applicable</t>
        </is>
      </c>
      <c r="G674" s="55" t="n"/>
      <c r="H674" s="47" t="n"/>
      <c r="I674" s="47" t="n"/>
      <c r="J674" s="49" t="n"/>
      <c r="K674" s="49" t="n"/>
      <c r="L674" s="49" t="n"/>
      <c r="M674" s="49" t="n"/>
    </row>
    <row r="675" outlineLevel="1" ht="28.5" customFormat="1" customHeight="1" s="36">
      <c r="A675" s="37">
        <f>A668&amp;"_"&amp;B675</f>
        <v/>
      </c>
      <c r="B675" s="50" t="n">
        <v>6</v>
      </c>
      <c r="C675" s="185" t="n"/>
      <c r="D675" s="185" t="n"/>
      <c r="E675" s="45" t="inlineStr">
        <is>
          <t>– communication stack
通信协议栈</t>
        </is>
      </c>
      <c r="F675" s="53" t="inlineStr">
        <is>
          <t>not applicable</t>
        </is>
      </c>
      <c r="G675" s="46" t="n"/>
      <c r="H675" s="47" t="n"/>
      <c r="I675" s="47" t="n"/>
      <c r="J675" s="48" t="n"/>
      <c r="K675" s="49" t="n"/>
      <c r="L675" s="49" t="n"/>
      <c r="M675" s="49" t="n"/>
    </row>
    <row r="676" outlineLevel="1" ht="29" customFormat="1" customHeight="1" s="36">
      <c r="A676" s="37">
        <f>A668&amp;"_"&amp;B676</f>
        <v/>
      </c>
      <c r="B676" s="42" t="n">
        <v>7</v>
      </c>
      <c r="C676" s="185" t="n"/>
      <c r="D676" s="185" t="n"/>
      <c r="E676" s="45" t="inlineStr">
        <is>
          <t xml:space="preserve">– parameter file参数文件
</t>
        </is>
      </c>
      <c r="F676" s="53" t="inlineStr">
        <is>
          <t>not applicable</t>
        </is>
      </c>
      <c r="G676" s="55" t="n"/>
      <c r="H676" s="47" t="n"/>
      <c r="I676" s="47" t="n"/>
      <c r="J676" s="49" t="n"/>
      <c r="K676" s="49" t="n"/>
      <c r="L676" s="49" t="n"/>
      <c r="M676" s="49" t="n"/>
    </row>
    <row r="677" outlineLevel="1" ht="28.5" customFormat="1" customHeight="1" s="36">
      <c r="A677" s="37">
        <f>A668&amp;"_"&amp;B677</f>
        <v/>
      </c>
      <c r="B677" s="50" t="n">
        <v>8</v>
      </c>
      <c r="C677" s="185" t="n"/>
      <c r="D677" s="185" t="n"/>
      <c r="E677" s="45" t="inlineStr">
        <is>
          <t>– execution time
执行时间</t>
        </is>
      </c>
      <c r="F677" s="53" t="inlineStr">
        <is>
          <t>not applicable</t>
        </is>
      </c>
      <c r="G677" s="55" t="n"/>
      <c r="H677" s="47" t="n"/>
      <c r="I677" s="47" t="n"/>
      <c r="J677" s="49" t="n"/>
      <c r="K677" s="49" t="n"/>
      <c r="L677" s="49" t="n"/>
      <c r="M677" s="49" t="n"/>
    </row>
    <row r="678" outlineLevel="1" ht="26" customFormat="1" customHeight="1" s="36">
      <c r="A678" s="37">
        <f>A668&amp;"_"&amp;B678</f>
        <v/>
      </c>
      <c r="B678" s="42" t="n">
        <v>9</v>
      </c>
      <c r="C678" s="186" t="n"/>
      <c r="D678" s="186" t="n"/>
      <c r="E678" s="45" t="inlineStr">
        <is>
          <t>– allocated memory</t>
        </is>
      </c>
      <c r="F678" s="53" t="inlineStr">
        <is>
          <t>not applicable</t>
        </is>
      </c>
      <c r="G678" s="55" t="n"/>
      <c r="H678" s="47" t="n"/>
      <c r="I678" s="47" t="n"/>
      <c r="J678" s="49" t="n"/>
      <c r="K678" s="49" t="n"/>
      <c r="L678" s="49" t="n"/>
      <c r="M678" s="49" t="n"/>
    </row>
    <row r="679" outlineLevel="1" ht="28.5" customFormat="1" customHeight="1" s="36">
      <c r="A679" s="37">
        <f>A668&amp;"_"&amp;B679</f>
        <v/>
      </c>
      <c r="B679" s="50" t="n">
        <v>10</v>
      </c>
      <c r="C679" s="187" t="inlineStr">
        <is>
          <t>Components of
identical type</t>
        </is>
      </c>
      <c r="D679" s="187" t="inlineStr">
        <is>
          <t>Identical components may fail with higher probability simultaneously (common mode failures)</t>
        </is>
      </c>
      <c r="E679" s="45" t="inlineStr">
        <is>
          <t>• Reused standard software modules
重复使用的标准软件模块</t>
        </is>
      </c>
      <c r="F679" s="53" t="inlineStr">
        <is>
          <t>not applicable</t>
        </is>
      </c>
      <c r="G679" s="46" t="n"/>
      <c r="H679" s="47" t="n"/>
      <c r="I679" s="47" t="n"/>
      <c r="J679" s="48" t="n"/>
      <c r="K679" s="49" t="n"/>
      <c r="L679" s="49" t="n"/>
      <c r="M679" s="49" t="n"/>
    </row>
    <row r="680" outlineLevel="1" ht="28.5" customFormat="1" customHeight="1" s="36">
      <c r="A680" s="37">
        <f>A668&amp;"_"&amp;B680</f>
        <v/>
      </c>
      <c r="B680" s="42" t="n">
        <v>11</v>
      </c>
      <c r="C680" s="185" t="n"/>
      <c r="D680" s="185" t="n"/>
      <c r="E680" s="45" t="inlineStr">
        <is>
          <t>• Standard library components
标准库组件</t>
        </is>
      </c>
      <c r="F680" s="53" t="inlineStr">
        <is>
          <t>not applicable</t>
        </is>
      </c>
      <c r="G680" s="46" t="n"/>
      <c r="H680" s="47" t="n"/>
      <c r="I680" s="47" t="n"/>
      <c r="J680" s="48" t="n"/>
      <c r="K680" s="49" t="n"/>
      <c r="L680" s="49" t="n"/>
      <c r="M680" s="49" t="n"/>
    </row>
    <row r="681" outlineLevel="1" ht="28.5" customFormat="1" customHeight="1" s="36">
      <c r="A681" s="37">
        <f>A668&amp;"_"&amp;B681</f>
        <v/>
      </c>
      <c r="B681" s="50" t="n">
        <v>12</v>
      </c>
      <c r="C681" s="185" t="n"/>
      <c r="D681" s="185" t="n"/>
      <c r="E681" s="45" t="inlineStr">
        <is>
          <t>• Middleware
中间件</t>
        </is>
      </c>
      <c r="F681" s="53" t="inlineStr">
        <is>
          <t>not applicable</t>
        </is>
      </c>
      <c r="G681" s="55" t="n"/>
      <c r="H681" s="47" t="n"/>
      <c r="I681" s="47" t="n"/>
      <c r="J681" s="49" t="n"/>
      <c r="K681" s="49" t="n"/>
      <c r="L681" s="49" t="n"/>
      <c r="M681" s="49" t="n"/>
    </row>
    <row r="682" outlineLevel="1" ht="28.5" customFormat="1" customHeight="1" s="36">
      <c r="A682" s="37">
        <f>A668&amp;"_"&amp;B682</f>
        <v/>
      </c>
      <c r="B682" s="42" t="n">
        <v>13</v>
      </c>
      <c r="C682" s="185" t="n"/>
      <c r="D682" s="185" t="n"/>
      <c r="E682" s="45" t="inlineStr">
        <is>
          <t>• Operating system
操作系统</t>
        </is>
      </c>
      <c r="F682" s="53" t="inlineStr">
        <is>
          <t>not applicable</t>
        </is>
      </c>
      <c r="G682" s="55" t="n"/>
      <c r="H682" s="47" t="n"/>
      <c r="I682" s="47" t="n"/>
      <c r="J682" s="49" t="n"/>
      <c r="K682" s="49" t="n"/>
      <c r="L682" s="49" t="n"/>
      <c r="M682" s="49" t="n"/>
    </row>
    <row r="683" outlineLevel="1" ht="28.5" customFormat="1" customHeight="1" s="36">
      <c r="A683" s="37">
        <f>A668&amp;"_"&amp;B683</f>
        <v/>
      </c>
      <c r="B683" s="50" t="n">
        <v>14</v>
      </c>
      <c r="C683" s="185" t="n"/>
      <c r="D683" s="185" t="n"/>
      <c r="E683" s="45" t="inlineStr">
        <is>
          <t>• Communication stack
通信栈</t>
        </is>
      </c>
      <c r="F683" s="53" t="inlineStr">
        <is>
          <t>not applicable</t>
        </is>
      </c>
      <c r="G683" s="55" t="n"/>
      <c r="H683" s="47" t="n"/>
      <c r="I683" s="47" t="n"/>
      <c r="J683" s="49" t="n"/>
      <c r="K683" s="49" t="n"/>
      <c r="L683" s="49" t="n"/>
      <c r="M683" s="49" t="n"/>
    </row>
    <row r="684" outlineLevel="1" ht="58" customFormat="1" customHeight="1" s="36">
      <c r="A684" s="37">
        <f>A668&amp;"_"&amp;B684</f>
        <v/>
      </c>
      <c r="B684" s="42" t="n">
        <v>15</v>
      </c>
      <c r="C684" s="186" t="n"/>
      <c r="D684" s="186" t="n"/>
      <c r="E684" s="45" t="inlineStr">
        <is>
          <t xml:space="preserve">
• Parameter set
参数设置
</t>
        </is>
      </c>
      <c r="F684" s="53" t="inlineStr">
        <is>
          <t>not applicable</t>
        </is>
      </c>
      <c r="G684" s="55" t="n"/>
      <c r="H684" s="47" t="n"/>
      <c r="I684" s="47" t="n"/>
      <c r="J684" s="49" t="n"/>
      <c r="K684" s="49" t="n"/>
      <c r="L684" s="49" t="n"/>
      <c r="M684" s="49" t="n"/>
    </row>
    <row r="685" outlineLevel="1" ht="100.5" customFormat="1" customHeight="1" s="36">
      <c r="A685" s="37">
        <f>A668&amp;"_"&amp;B685</f>
        <v/>
      </c>
      <c r="B685" s="50" t="n">
        <v>16</v>
      </c>
      <c r="C685" s="187" t="inlineStr">
        <is>
          <t>Communication
between the two
functions</t>
        </is>
      </c>
      <c r="D685" s="184" t="inlineStr">
        <is>
          <t>Receiving function is affected by information that is false, lost, sent multiple times, or in the wrong order etc. from the sender</t>
        </is>
      </c>
      <c r="E685"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685" s="45" t="inlineStr">
        <is>
          <t xml:space="preserve">Yes </t>
        </is>
      </c>
      <c r="G685" s="46" t="inlineStr">
        <is>
          <t>故障检测模块失效后可能导致功能故障情况下无法识别到故障并报警
故障检测模块失效后可能故障情况下无法识别到故障并记录，违背安全目标SG01,SG02,SG03</t>
        </is>
      </c>
      <c r="H685" s="47" t="inlineStr">
        <is>
          <t xml:space="preserve">1：支持硬线制动灯点亮：
</t>
        </is>
      </c>
      <c r="I685" s="47" t="inlineStr">
        <is>
          <t>SW_DFA_SM_001</t>
        </is>
      </c>
      <c r="J685" s="48" t="inlineStr">
        <is>
          <t>通过集成测试</t>
        </is>
      </c>
      <c r="K685" s="49" t="inlineStr">
        <is>
          <t>满足ASILB开发和测试</t>
        </is>
      </c>
      <c r="L685" s="49" t="n"/>
      <c r="M685" s="49" t="n"/>
    </row>
    <row r="686" outlineLevel="1" ht="72.5" customFormat="1" customHeight="1" s="36">
      <c r="A686" s="37">
        <f>A668&amp;"_"&amp;B686</f>
        <v/>
      </c>
      <c r="B686" s="42" t="n">
        <v>17</v>
      </c>
      <c r="C686" s="185" t="n"/>
      <c r="D686" s="185" t="n"/>
      <c r="E686" s="45" t="inlineStr">
        <is>
          <t>• Data or message corruption/ repetition*/ loss*/ delay*/ masquerading or incorrect addressing of information*
数据或信息的损坏/重复/丢失/延迟/伪装或信息的错误标识*</t>
        </is>
      </c>
      <c r="F686" s="53" t="inlineStr">
        <is>
          <t>not applicable</t>
        </is>
      </c>
      <c r="G686" s="55" t="n"/>
      <c r="H686" s="47" t="n"/>
      <c r="I686" s="47" t="n"/>
      <c r="J686" s="49" t="n"/>
      <c r="K686" s="49" t="n"/>
      <c r="L686" s="49" t="n"/>
      <c r="M686" s="49" t="n"/>
    </row>
    <row r="687" outlineLevel="1" ht="49" customFormat="1" customHeight="1" s="36">
      <c r="A687" s="37">
        <f>A668&amp;"_"&amp;B687</f>
        <v/>
      </c>
      <c r="B687" s="50" t="n">
        <v>18</v>
      </c>
      <c r="C687" s="185" t="n"/>
      <c r="D687" s="185" t="n"/>
      <c r="E687" s="45" t="inlineStr">
        <is>
          <t>• Insertion*/ sequence of information*
插入* / 信息序列*</t>
        </is>
      </c>
      <c r="F687" s="53" t="inlineStr">
        <is>
          <t>not applicable</t>
        </is>
      </c>
      <c r="G687" s="55" t="n"/>
      <c r="H687" s="47" t="n"/>
      <c r="I687" s="47" t="n"/>
      <c r="J687" s="49" t="n"/>
      <c r="K687" s="49" t="n"/>
      <c r="L687" s="49" t="n"/>
      <c r="M687" s="49" t="n"/>
    </row>
    <row r="688" outlineLevel="1" ht="48" customFormat="1" customHeight="1" s="36">
      <c r="A688" s="37">
        <f>A668&amp;"_"&amp;B688</f>
        <v/>
      </c>
      <c r="B688" s="42" t="n">
        <v>19</v>
      </c>
      <c r="C688" s="185" t="n"/>
      <c r="D688" s="185" t="n"/>
      <c r="E688" s="45" t="inlineStr">
        <is>
          <t>• Corruption of information*
信息的失真*</t>
        </is>
      </c>
      <c r="F688" s="53" t="inlineStr">
        <is>
          <t>not applicable</t>
        </is>
      </c>
      <c r="G688" s="55" t="n"/>
      <c r="H688" s="47" t="n"/>
      <c r="I688" s="47" t="n"/>
      <c r="J688" s="49" t="n"/>
      <c r="K688" s="49" t="n"/>
      <c r="L688" s="49" t="n"/>
      <c r="M688" s="49" t="n"/>
    </row>
    <row r="689" outlineLevel="1" ht="48" customFormat="1" customHeight="1" s="36">
      <c r="A689" s="37">
        <f>A668&amp;"_"&amp;B689</f>
        <v/>
      </c>
      <c r="B689" s="50" t="n">
        <v>20</v>
      </c>
      <c r="C689" s="185" t="n"/>
      <c r="D689" s="185" t="n"/>
      <c r="E689" s="45" t="inlineStr">
        <is>
          <t>• Asymmetric information sent from a sender to multiple receivers*
从发送者传向多个接收者的不对称信息*</t>
        </is>
      </c>
      <c r="F689" s="53" t="inlineStr">
        <is>
          <t>not applicable</t>
        </is>
      </c>
      <c r="G689" s="55" t="n"/>
      <c r="H689" s="47" t="n"/>
      <c r="I689" s="47" t="n"/>
      <c r="J689" s="49" t="n"/>
      <c r="K689" s="49" t="n"/>
      <c r="L689" s="49" t="n"/>
      <c r="M689" s="49" t="n"/>
    </row>
    <row r="690" outlineLevel="1" ht="48" customFormat="1" customHeight="1" s="36">
      <c r="A690" s="37">
        <f>A668&amp;"_"&amp;B690</f>
        <v/>
      </c>
      <c r="B690" s="42" t="n">
        <v>21</v>
      </c>
      <c r="C690" s="185" t="n"/>
      <c r="D690" s="185" t="n"/>
      <c r="E690" s="45" t="inlineStr">
        <is>
          <t>• Information from a sender received by only a subset of the receivers*
仅部分接收者接收到的来自发送者的信息*</t>
        </is>
      </c>
      <c r="F690" s="53" t="inlineStr">
        <is>
          <t>not applicable</t>
        </is>
      </c>
      <c r="G690" s="55" t="n"/>
      <c r="H690" s="47" t="n"/>
      <c r="I690" s="47" t="n"/>
      <c r="J690" s="49" t="n"/>
      <c r="K690" s="49" t="n"/>
      <c r="L690" s="49" t="n"/>
      <c r="M690" s="49" t="n"/>
    </row>
    <row r="691" outlineLevel="1" ht="43.5" customFormat="1" customHeight="1" s="36">
      <c r="A691" s="37">
        <f>A668&amp;"_"&amp;B691</f>
        <v/>
      </c>
      <c r="B691" s="50" t="n">
        <v>22</v>
      </c>
      <c r="C691" s="186" t="n"/>
      <c r="D691" s="186" t="n"/>
      <c r="E691" s="45" t="inlineStr">
        <is>
          <t>• Blocking access to a communication channel*
阻止对通信通道的访问*</t>
        </is>
      </c>
      <c r="F691" s="53" t="inlineStr">
        <is>
          <t>not applicable</t>
        </is>
      </c>
      <c r="G691" s="46" t="n"/>
      <c r="H691" s="47" t="n"/>
      <c r="I691" s="47" t="n"/>
      <c r="J691" s="48" t="n"/>
      <c r="K691" s="49" t="n"/>
      <c r="L691" s="49" t="n"/>
      <c r="M691" s="49" t="n"/>
    </row>
    <row r="692" outlineLevel="1" ht="45" customFormat="1" customHeight="1" s="36">
      <c r="A692" s="37">
        <f>A668&amp;"_"&amp;B692</f>
        <v/>
      </c>
      <c r="B692" s="42" t="n">
        <v>23</v>
      </c>
      <c r="C692" s="187" t="inlineStr">
        <is>
          <t>Shared information
inputs</t>
        </is>
      </c>
      <c r="D692" s="187" t="inlineStr">
        <is>
          <t>Same information consumed by the two functions even in absence of shared resources, i.e. from a functional perspective</t>
        </is>
      </c>
      <c r="E692" s="45" t="inlineStr">
        <is>
          <t>• Calibration parameters
标准参数</t>
        </is>
      </c>
      <c r="F692" s="53" t="inlineStr">
        <is>
          <t>not applicable</t>
        </is>
      </c>
      <c r="G692" s="55" t="n"/>
      <c r="H692" s="47" t="n"/>
      <c r="I692" s="47" t="n"/>
      <c r="J692" s="49" t="n"/>
      <c r="K692" s="49" t="n"/>
      <c r="L692" s="49" t="n"/>
      <c r="M692" s="49" t="n"/>
    </row>
    <row r="693" outlineLevel="1" ht="84" customFormat="1" customHeight="1" s="36">
      <c r="A693" s="37">
        <f>A668&amp;"_"&amp;B693</f>
        <v/>
      </c>
      <c r="B693" s="50" t="n">
        <v>24</v>
      </c>
      <c r="C693" s="185" t="n"/>
      <c r="D693" s="185" t="n"/>
      <c r="E693" s="45" t="inlineStr">
        <is>
          <t>• Constants, or variables, being global to the two software functions
常量或变量对于这两个软件功能而言是全局性的。</t>
        </is>
      </c>
      <c r="F693" s="45" t="inlineStr">
        <is>
          <t xml:space="preserve">Yes </t>
        </is>
      </c>
      <c r="G693" s="46" t="inlineStr">
        <is>
          <t>故障检测模块失效后可能导致功能故障情况下无法识别到故障并报警
故障检测模块失效后可能故障情况下无法识别到故障并记录，违背安全目标SG01,SG02,SG03</t>
        </is>
      </c>
      <c r="H693" s="47" t="inlineStr">
        <is>
          <t xml:space="preserve">1：支持硬线制动灯点亮：
</t>
        </is>
      </c>
      <c r="I693" s="47" t="inlineStr">
        <is>
          <t>SW_DFA_SM_001</t>
        </is>
      </c>
      <c r="J693" s="48" t="inlineStr">
        <is>
          <t>通过集成测试</t>
        </is>
      </c>
      <c r="K693" s="49" t="inlineStr">
        <is>
          <t>满足ASILB开发和测试</t>
        </is>
      </c>
      <c r="L693" s="49" t="n"/>
      <c r="M693" s="49" t="n"/>
    </row>
    <row r="694" outlineLevel="1" ht="100" customFormat="1" customHeight="1" s="36">
      <c r="A694" s="37">
        <f>A668&amp;"_"&amp;B694</f>
        <v/>
      </c>
      <c r="B694" s="42" t="n">
        <v>25</v>
      </c>
      <c r="C694" s="185" t="n"/>
      <c r="D694" s="185" t="n"/>
      <c r="E694" s="45" t="inlineStr">
        <is>
          <t>• Basic software passes data (read from hardware register and converted into logical information) to two application software functions
基础软件会将数据（从硬件寄存器读取并转换为逻辑信息）传递给两个应用程序软件功能。</t>
        </is>
      </c>
      <c r="F694" s="53" t="inlineStr">
        <is>
          <t>not applicable</t>
        </is>
      </c>
      <c r="G694" s="55" t="n"/>
      <c r="H694" s="47" t="n"/>
      <c r="I694" s="47" t="n"/>
      <c r="J694" s="49" t="n"/>
      <c r="K694" s="49" t="n"/>
      <c r="L694" s="49" t="n"/>
      <c r="M694" s="49" t="n"/>
    </row>
    <row r="695" outlineLevel="1" ht="115.5" customFormat="1" customHeight="1" s="36">
      <c r="A695" s="37">
        <f>A668&amp;"_"&amp;B695</f>
        <v/>
      </c>
      <c r="B695" s="50" t="n">
        <v>26</v>
      </c>
      <c r="C695" s="186" t="n"/>
      <c r="D695" s="186" t="n"/>
      <c r="E695"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695" s="53" t="inlineStr">
        <is>
          <t>not applicable</t>
        </is>
      </c>
      <c r="G695" s="55" t="n"/>
      <c r="H695" s="47" t="n"/>
      <c r="I695" s="47" t="n"/>
      <c r="J695" s="49" t="n"/>
      <c r="K695" s="49" t="n"/>
      <c r="L695" s="49" t="n"/>
      <c r="M695" s="49" t="n"/>
    </row>
    <row r="696" outlineLevel="1" ht="68.5" customFormat="1" customHeight="1" s="36">
      <c r="A696" s="37">
        <f>A668&amp;"_"&amp;B696</f>
        <v/>
      </c>
      <c r="B696" s="42" t="n">
        <v>27</v>
      </c>
      <c r="C696" s="187" t="inlineStr">
        <is>
          <t>Environmental
influences</t>
        </is>
      </c>
      <c r="D696" s="184" t="inlineStr">
        <is>
          <t>Common external environmental disturbance affects both functions</t>
        </is>
      </c>
      <c r="E696" s="45" t="inlineStr">
        <is>
          <t xml:space="preserve">System-level: mechanical shock, water ingress
 系统层面：机械震动、进水                                                                                                                                                                </t>
        </is>
      </c>
      <c r="F696" s="53" t="inlineStr">
        <is>
          <t>not applicable</t>
        </is>
      </c>
      <c r="G696" s="55" t="n"/>
      <c r="H696" s="47" t="n"/>
      <c r="I696" s="47" t="n"/>
      <c r="J696" s="49" t="n"/>
      <c r="K696" s="49" t="n"/>
      <c r="L696" s="49" t="n"/>
      <c r="M696" s="49" t="n"/>
    </row>
    <row r="697" outlineLevel="1" ht="28.5" customFormat="1" customHeight="1" s="36">
      <c r="A697" s="37">
        <f>A668&amp;"_"&amp;B697</f>
        <v/>
      </c>
      <c r="B697" s="50" t="n">
        <v>28</v>
      </c>
      <c r="C697" s="185" t="n"/>
      <c r="D697" s="185" t="n"/>
      <c r="E697" s="45" t="inlineStr">
        <is>
          <t>Software-level: not applicable for Software
软件层面：不适用于软件</t>
        </is>
      </c>
      <c r="F697" s="53" t="inlineStr">
        <is>
          <t>not applicable</t>
        </is>
      </c>
      <c r="G697" s="55" t="n"/>
      <c r="H697" s="47" t="n"/>
      <c r="I697" s="47" t="n"/>
      <c r="J697" s="49" t="n"/>
      <c r="K697" s="49" t="n"/>
      <c r="L697" s="49" t="n"/>
      <c r="M697" s="49" t="n"/>
    </row>
    <row r="698" outlineLevel="1" ht="43" customFormat="1" customHeight="1" s="36">
      <c r="A698" s="37">
        <f>A668&amp;"_"&amp;B698</f>
        <v/>
      </c>
      <c r="B698" s="42" t="n">
        <v>29</v>
      </c>
      <c r="C698" s="186" t="n"/>
      <c r="D698" s="186" t="n"/>
      <c r="E698" s="45" t="inlineStr">
        <is>
          <t>Hardware-level: under and over voltage of the power supply        
硬件层面：电源的欠压和过压情况</t>
        </is>
      </c>
      <c r="F698" s="53" t="inlineStr">
        <is>
          <t>not applicable</t>
        </is>
      </c>
      <c r="G698" s="55" t="n"/>
      <c r="H698" s="47" t="n"/>
      <c r="I698" s="47" t="n"/>
      <c r="J698" s="49" t="n"/>
      <c r="K698" s="49" t="n"/>
      <c r="L698" s="49" t="n"/>
      <c r="M698" s="49" t="n"/>
    </row>
    <row r="699" outlineLevel="1" ht="84" customFormat="1" customHeight="1" s="36">
      <c r="A699" s="37">
        <f>A668&amp;"_"&amp;B699</f>
        <v/>
      </c>
      <c r="B699" s="50" t="n">
        <v>30</v>
      </c>
      <c r="C699" s="187" t="inlineStr">
        <is>
          <t>Unintended impact</t>
        </is>
      </c>
      <c r="D699" s="187" t="inlineStr">
        <is>
          <t>Two functions affecting each other’s elements directly via an implicit, that is unintended interface.</t>
        </is>
      </c>
      <c r="E699" s="45" t="inlineStr">
        <is>
          <t>• Memory / corruption of content*
– “wild pointers“ (including program counter stack)
内存/内容损坏*
——“失控指针”（包括程序计数器栈</t>
        </is>
      </c>
      <c r="F699" s="45" t="inlineStr">
        <is>
          <t xml:space="preserve">Yes </t>
        </is>
      </c>
      <c r="G699" s="46" t="inlineStr">
        <is>
          <t>故障检测模块失效后可能导致功能故障情况下无法识别到故障并报警
故障检测模块失效后可能故障情况下无法识别到故障并记录，违背安全目标SG01,SG02,SG03</t>
        </is>
      </c>
      <c r="H699" s="47" t="inlineStr">
        <is>
          <t>1：支持硬线制动灯点亮：
2：支持外部看门狗</t>
        </is>
      </c>
      <c r="I699" s="47" t="inlineStr">
        <is>
          <t>SW_DFA_SM_001 
SW_DFA_SM_004</t>
        </is>
      </c>
      <c r="J699" s="48" t="inlineStr">
        <is>
          <t>通过集成测试</t>
        </is>
      </c>
      <c r="K699" s="49" t="inlineStr">
        <is>
          <t>满足ASILB开发和测试</t>
        </is>
      </c>
      <c r="L699" s="49" t="n"/>
      <c r="M699" s="49" t="n"/>
    </row>
    <row r="700" outlineLevel="1" ht="84" customFormat="1" customHeight="1" s="36">
      <c r="A700" s="37">
        <f>A668&amp;"_"&amp;B700</f>
        <v/>
      </c>
      <c r="B700" s="42" t="n">
        <v>31</v>
      </c>
      <c r="C700" s="185" t="n"/>
      <c r="D700" s="185" t="n"/>
      <c r="E700" s="45" t="inlineStr">
        <is>
          <t>– memory mis-allocation
——内存分配错误</t>
        </is>
      </c>
      <c r="F700" s="45" t="inlineStr">
        <is>
          <t xml:space="preserve">Yes </t>
        </is>
      </c>
      <c r="G700" s="46" t="inlineStr">
        <is>
          <t>故障检测模块失效后可能导致功能故障情况下无法识别到故障并报警
故障检测模块失效后可能故障情况下无法识别到故障并记录，违背安全目标SG01,SG02,SG03</t>
        </is>
      </c>
      <c r="H700" s="47" t="inlineStr">
        <is>
          <t>1：支持硬线制动灯点亮：
2：支持外部看门狗</t>
        </is>
      </c>
      <c r="I700" s="47" t="inlineStr">
        <is>
          <t>SW_DFA_SM_001 
SW_DFA_SM_004</t>
        </is>
      </c>
      <c r="J700" s="48" t="inlineStr">
        <is>
          <t>通过集成测试</t>
        </is>
      </c>
      <c r="K700" s="49" t="inlineStr">
        <is>
          <t>满足ASILB开发和测试</t>
        </is>
      </c>
      <c r="L700" s="49" t="n"/>
      <c r="M700" s="49" t="n"/>
    </row>
    <row r="701" outlineLevel="1" ht="84" customFormat="1" customHeight="1" s="36">
      <c r="A701" s="37">
        <f>A668&amp;"_"&amp;B701</f>
        <v/>
      </c>
      <c r="B701" s="50" t="n">
        <v>32</v>
      </c>
      <c r="C701" s="185" t="n"/>
      <c r="D701" s="185" t="n"/>
      <c r="E701" s="45" t="inlineStr">
        <is>
          <t>– memory leaks
内存泄漏</t>
        </is>
      </c>
      <c r="F701" s="45" t="inlineStr">
        <is>
          <t xml:space="preserve">Yes </t>
        </is>
      </c>
      <c r="G701" s="46" t="inlineStr">
        <is>
          <t>故障检测模块失效后可能导致功能故障情况下无法识别到故障并报警
故障检测模块失效后可能故障情况下无法识别到故障并记录，违背安全目标SG01,SG02,SG03</t>
        </is>
      </c>
      <c r="H701" s="47" t="inlineStr">
        <is>
          <t>1：支持硬线制动灯点亮：
2：支持外部看门狗</t>
        </is>
      </c>
      <c r="I701" s="47" t="inlineStr">
        <is>
          <t>SW_DFA_SM_001 
SW_DFA_SM_004</t>
        </is>
      </c>
      <c r="J701" s="48" t="inlineStr">
        <is>
          <t>通过集成测试</t>
        </is>
      </c>
      <c r="K701" s="49" t="inlineStr">
        <is>
          <t>满足ASILB开发和测试</t>
        </is>
      </c>
      <c r="L701" s="49" t="n"/>
      <c r="M701" s="49" t="n"/>
    </row>
    <row r="702" outlineLevel="1" ht="58" customFormat="1" customHeight="1" s="36">
      <c r="A702" s="37">
        <f>A668&amp;"_"&amp;B702</f>
        <v/>
      </c>
      <c r="B702" s="42" t="n">
        <v>33</v>
      </c>
      <c r="C702" s="185" t="n"/>
      <c r="D702" s="185" t="n"/>
      <c r="E702" s="45" t="inlineStr">
        <is>
          <t>– read/write access to memory allocated to another software element*
—— 对分配给其他软件组件的内存的读/写访问权限*</t>
        </is>
      </c>
      <c r="F702" s="53" t="inlineStr">
        <is>
          <t>not applicable</t>
        </is>
      </c>
      <c r="G702" s="55" t="n"/>
      <c r="H702" s="47" t="n"/>
      <c r="I702" s="47" t="n"/>
      <c r="J702" s="49" t="n"/>
      <c r="K702" s="49" t="n"/>
      <c r="L702" s="49" t="n"/>
      <c r="M702" s="49" t="n"/>
    </row>
    <row r="703" outlineLevel="1" ht="29" customFormat="1" customHeight="1" s="36">
      <c r="A703" s="37">
        <f>A668&amp;"_"&amp;B703</f>
        <v/>
      </c>
      <c r="B703" s="50" t="n">
        <v>34</v>
      </c>
      <c r="C703" s="185" t="n"/>
      <c r="D703" s="185" t="n"/>
      <c r="E703" s="45" t="inlineStr">
        <is>
          <t>– buffer under-/overflow
– 缓冲区下溢/上溢</t>
        </is>
      </c>
      <c r="F703" s="53" t="inlineStr">
        <is>
          <t>not applicable</t>
        </is>
      </c>
      <c r="G703" s="55" t="n"/>
      <c r="H703" s="47" t="n"/>
      <c r="I703" s="47" t="n"/>
      <c r="J703" s="49" t="n"/>
      <c r="K703" s="49" t="n"/>
      <c r="L703" s="49" t="n"/>
      <c r="M703" s="49" t="n"/>
    </row>
    <row r="704" outlineLevel="1" ht="57.5" customFormat="1" customHeight="1" s="36">
      <c r="A704" s="37">
        <f>A668&amp;"_"&amp;B704</f>
        <v/>
      </c>
      <c r="B704" s="42" t="n">
        <v>35</v>
      </c>
      <c r="C704" s="185" t="n"/>
      <c r="D704" s="185" t="n"/>
      <c r="E704" s="45" t="inlineStr">
        <is>
          <t>• Timing and execution
– deadlocks*
时机与执行
——死锁*</t>
        </is>
      </c>
      <c r="F704" s="53" t="inlineStr">
        <is>
          <t>not applicable</t>
        </is>
      </c>
      <c r="G704" s="55" t="n"/>
      <c r="H704" s="47" t="n"/>
      <c r="I704" s="47" t="n"/>
      <c r="J704" s="49" t="n"/>
      <c r="K704" s="49" t="n"/>
      <c r="L704" s="49" t="n"/>
      <c r="M704" s="49" t="n"/>
    </row>
    <row r="705" outlineLevel="1" ht="28.5" customFormat="1" customHeight="1" s="36">
      <c r="A705" s="37">
        <f>A668&amp;"_"&amp;B705</f>
        <v/>
      </c>
      <c r="B705" s="50" t="n">
        <v>36</v>
      </c>
      <c r="C705" s="185" t="n"/>
      <c r="D705" s="185" t="n"/>
      <c r="E705" s="45" t="inlineStr">
        <is>
          <t>– livelocks*
活锁</t>
        </is>
      </c>
      <c r="F705" s="53" t="inlineStr">
        <is>
          <t>not applicable</t>
        </is>
      </c>
      <c r="G705" s="55" t="n"/>
      <c r="H705" s="47" t="n"/>
      <c r="I705" s="47" t="n"/>
      <c r="J705" s="49" t="n"/>
      <c r="K705" s="49" t="n"/>
      <c r="L705" s="49" t="n"/>
      <c r="M705" s="49" t="n"/>
    </row>
    <row r="706" outlineLevel="1" ht="29" customFormat="1" customHeight="1" s="36">
      <c r="A706" s="37">
        <f>A668&amp;"_"&amp;B706</f>
        <v/>
      </c>
      <c r="B706" s="42" t="n">
        <v>37</v>
      </c>
      <c r="C706" s="185" t="n"/>
      <c r="D706" s="185" t="n"/>
      <c r="E706" s="45" t="inlineStr">
        <is>
          <t>– incorrect allocation of execution time*
——执行时间分配不当*</t>
        </is>
      </c>
      <c r="F706" s="53" t="inlineStr">
        <is>
          <t>not applicable</t>
        </is>
      </c>
      <c r="G706" s="55" t="n"/>
      <c r="H706" s="47" t="n"/>
      <c r="I706" s="47" t="n"/>
      <c r="J706" s="49" t="n"/>
      <c r="K706" s="49" t="n"/>
      <c r="L706" s="49" t="n"/>
      <c r="M706" s="49" t="n"/>
    </row>
    <row r="707" outlineLevel="1" ht="43.5" customFormat="1" customHeight="1" s="36">
      <c r="A707" s="37">
        <f>A668&amp;"_"&amp;B707</f>
        <v/>
      </c>
      <c r="B707" s="50" t="n">
        <v>38</v>
      </c>
      <c r="C707" s="186" t="n"/>
      <c r="D707" s="186" t="n"/>
      <c r="E707" s="45" t="inlineStr">
        <is>
          <t>– incorrect synchronization between software elements*
——软件各组成部分之间的同步不正确*</t>
        </is>
      </c>
      <c r="F707" s="53" t="inlineStr">
        <is>
          <t>not applicable</t>
        </is>
      </c>
      <c r="G707" s="46" t="n"/>
      <c r="H707" s="47" t="n"/>
      <c r="I707" s="47" t="n"/>
      <c r="J707" s="48" t="n"/>
      <c r="K707" s="49" t="n"/>
      <c r="L707" s="49" t="n"/>
      <c r="M707" s="49" t="n"/>
    </row>
    <row r="708" outlineLevel="1" ht="72" customFormat="1" customHeight="1" s="36">
      <c r="A708" s="37">
        <f>A668&amp;"_"&amp;B708</f>
        <v/>
      </c>
      <c r="B708" s="42" t="n">
        <v>39</v>
      </c>
      <c r="C708" s="187" t="inlineStr">
        <is>
          <t>Systematic coupling</t>
        </is>
      </c>
      <c r="D708" s="187" t="inlineStr">
        <is>
          <t>Systematic causes from human or tool errors can lead to the simultaneous failure of more than one function</t>
        </is>
      </c>
      <c r="E708" s="45" t="inlineStr">
        <is>
          <t>• Manufacturing fault / repair fault (e.g. false flashing, false calibration reference for sensors)
制造故障/维修故障（例如：错误的闪烁现象、传感器的错误校准参考值）</t>
        </is>
      </c>
      <c r="F708" s="53" t="inlineStr">
        <is>
          <t>not applicable</t>
        </is>
      </c>
      <c r="G708" s="55" t="n"/>
      <c r="H708" s="47" t="n"/>
      <c r="I708" s="47" t="n"/>
      <c r="J708" s="49" t="n"/>
      <c r="K708" s="49" t="n"/>
      <c r="L708" s="49" t="n"/>
      <c r="M708" s="49" t="n"/>
    </row>
    <row r="709" outlineLevel="1" ht="115.5" customFormat="1" customHeight="1" s="36">
      <c r="A709" s="37">
        <f>A668&amp;"_"&amp;B709</f>
        <v/>
      </c>
      <c r="B709" s="50" t="n">
        <v>40</v>
      </c>
      <c r="C709" s="185" t="n"/>
      <c r="D709" s="185" t="n"/>
      <c r="E709" s="61" t="inlineStr">
        <is>
          <t xml:space="preserve">• Non-diverse development approaches including:
– same software tools (e.g. IDE, compiler, linker)
非多元化的发展方式包括：
——相同的软件工具（例如集成开发环境、编译器、链接器）
</t>
        </is>
      </c>
      <c r="F709" s="45" t="inlineStr">
        <is>
          <t xml:space="preserve">Yes </t>
        </is>
      </c>
      <c r="G709" s="62" t="inlineStr">
        <is>
          <t>代码异常导致的违背安全目标</t>
        </is>
      </c>
      <c r="H709" s="63" t="inlineStr">
        <is>
          <t>工具鉴定</t>
        </is>
      </c>
      <c r="I709" s="63" t="n"/>
      <c r="J709" s="49" t="inlineStr">
        <is>
          <t>通过集成测试</t>
        </is>
      </c>
      <c r="K709" s="68" t="inlineStr">
        <is>
          <t>满足ASILB开发和测试</t>
        </is>
      </c>
      <c r="L709" s="68" t="n"/>
      <c r="M709" s="49" t="n"/>
    </row>
    <row r="710" outlineLevel="1" ht="28.5" customFormat="1" customHeight="1" s="36">
      <c r="A710" s="37">
        <f>A668&amp;"_"&amp;B710</f>
        <v/>
      </c>
      <c r="B710" s="42" t="n">
        <v>41</v>
      </c>
      <c r="C710" s="185" t="n"/>
      <c r="D710" s="185" t="n"/>
      <c r="E710" s="61" t="inlineStr">
        <is>
          <t>– same algorithms
相同的算法</t>
        </is>
      </c>
      <c r="F710" s="53" t="inlineStr">
        <is>
          <t>not applicable</t>
        </is>
      </c>
      <c r="G710" s="46" t="n"/>
      <c r="H710" s="47" t="n"/>
      <c r="I710" s="47" t="n"/>
      <c r="J710" s="48" t="n"/>
      <c r="K710" s="49" t="n"/>
      <c r="L710" s="49" t="n"/>
      <c r="M710" s="49" t="n"/>
    </row>
    <row r="711" outlineLevel="1" ht="43.5" customFormat="1" customHeight="1" s="36">
      <c r="A711" s="37">
        <f>A668&amp;"_"&amp;B711</f>
        <v/>
      </c>
      <c r="B711" s="50" t="n">
        <v>42</v>
      </c>
      <c r="C711" s="185" t="n"/>
      <c r="D711" s="185" t="n"/>
      <c r="E711" s="61" t="inlineStr">
        <is>
          <t>– same programming and/or modelling language used
所使用的编程和/或建模语言相同</t>
        </is>
      </c>
      <c r="F711" s="45" t="inlineStr">
        <is>
          <t xml:space="preserve">Yes </t>
        </is>
      </c>
      <c r="G711" s="62" t="inlineStr">
        <is>
          <t>代码异常导致的违背安全目标</t>
        </is>
      </c>
      <c r="H711" s="63" t="inlineStr">
        <is>
          <t>工具鉴定</t>
        </is>
      </c>
      <c r="I711" s="47" t="n"/>
      <c r="J711" s="49" t="inlineStr">
        <is>
          <t>通过集成测试</t>
        </is>
      </c>
      <c r="K711" s="49" t="inlineStr">
        <is>
          <t>满足ASILB开发和测试</t>
        </is>
      </c>
      <c r="L711" s="49" t="n"/>
      <c r="M711" s="49" t="n"/>
    </row>
    <row r="712" outlineLevel="1" ht="29" customFormat="1" customHeight="1" s="36">
      <c r="A712" s="37">
        <f>A668&amp;"_"&amp;B712</f>
        <v/>
      </c>
      <c r="B712" s="42" t="n">
        <v>43</v>
      </c>
      <c r="C712" s="185" t="n"/>
      <c r="D712" s="185" t="n"/>
      <c r="E712" s="61" t="inlineStr">
        <is>
          <t>– same complier/linker used
使用的是相同的编译器/链接器</t>
        </is>
      </c>
      <c r="F712" s="45" t="inlineStr">
        <is>
          <t xml:space="preserve">Yes </t>
        </is>
      </c>
      <c r="G712" s="62" t="inlineStr">
        <is>
          <t>代码异常导致的违背安全目标</t>
        </is>
      </c>
      <c r="H712" s="63" t="inlineStr">
        <is>
          <t>工具鉴定</t>
        </is>
      </c>
      <c r="I712" s="47" t="n"/>
      <c r="J712" s="49" t="inlineStr">
        <is>
          <t>通过集成测试</t>
        </is>
      </c>
      <c r="K712" s="49" t="inlineStr">
        <is>
          <t>满足ASILB开发和测试</t>
        </is>
      </c>
      <c r="L712" s="49" t="n"/>
      <c r="M712" s="49" t="n"/>
    </row>
    <row r="713" outlineLevel="1" ht="28.5" customFormat="1" customHeight="1" s="36">
      <c r="A713" s="37">
        <f>A668&amp;"_"&amp;B713</f>
        <v/>
      </c>
      <c r="B713" s="50" t="n">
        <v>44</v>
      </c>
      <c r="C713" s="185" t="n"/>
      <c r="D713" s="185" t="n"/>
      <c r="E713" s="45" t="inlineStr">
        <is>
          <t>• Same personnel
相同人员</t>
        </is>
      </c>
      <c r="F713" s="53" t="inlineStr">
        <is>
          <t>not applicable</t>
        </is>
      </c>
      <c r="G713" s="55" t="n"/>
      <c r="H713" s="47" t="n"/>
      <c r="I713" s="47" t="n"/>
      <c r="J713" s="49" t="n"/>
      <c r="K713" s="49" t="n"/>
      <c r="L713" s="49" t="n"/>
      <c r="M713" s="49" t="n"/>
    </row>
    <row r="714" outlineLevel="1" ht="57" customFormat="1" customHeight="1" s="36">
      <c r="A714" s="37">
        <f>A668&amp;"_"&amp;B714</f>
        <v/>
      </c>
      <c r="B714" s="42" t="n">
        <v>45</v>
      </c>
      <c r="C714" s="185" t="n"/>
      <c r="D714" s="185" t="n"/>
      <c r="E714" s="45" t="inlineStr">
        <is>
          <t>• Same social-cultural context (even if different personnel)
相同的社会文化背景（即便人员有所不同）</t>
        </is>
      </c>
      <c r="F714" s="53" t="inlineStr">
        <is>
          <t>not applicable</t>
        </is>
      </c>
      <c r="G714" s="55" t="n"/>
      <c r="H714" s="47" t="n"/>
      <c r="I714" s="47" t="n"/>
      <c r="J714" s="49" t="n"/>
      <c r="K714" s="49" t="n"/>
      <c r="L714" s="49" t="n"/>
      <c r="M714" s="49" t="n"/>
    </row>
    <row r="715" outlineLevel="1" ht="57.5" customFormat="1" customHeight="1" s="36">
      <c r="A715" s="37">
        <f>A668&amp;"_"&amp;B715</f>
        <v/>
      </c>
      <c r="B715" s="50" t="n">
        <v>46</v>
      </c>
      <c r="C715" s="185" t="n"/>
      <c r="D715" s="185" t="n"/>
      <c r="E715" s="45" t="inlineStr">
        <is>
          <t>• Development fault, e.g.
– human error
开发失误，例如：
– 人为错误</t>
        </is>
      </c>
      <c r="F715" s="53" t="inlineStr">
        <is>
          <t>not applicable</t>
        </is>
      </c>
      <c r="G715" s="55" t="n"/>
      <c r="H715" s="47" t="n"/>
      <c r="I715" s="47" t="n"/>
      <c r="J715" s="49" t="n"/>
      <c r="K715" s="49" t="n"/>
      <c r="L715" s="49" t="n"/>
      <c r="M715" s="49" t="n"/>
    </row>
    <row r="716" outlineLevel="1" ht="28.5" customFormat="1" customHeight="1" s="36">
      <c r="A716" s="37">
        <f>A668&amp;"_"&amp;B716</f>
        <v/>
      </c>
      <c r="B716" s="42" t="n">
        <v>47</v>
      </c>
      <c r="C716" s="185" t="n"/>
      <c r="D716" s="185" t="n"/>
      <c r="E716" s="45" t="inlineStr">
        <is>
          <t>– insufficiently qualified personnel
资质不足的人员</t>
        </is>
      </c>
      <c r="F716" s="53" t="inlineStr">
        <is>
          <t>not applicable</t>
        </is>
      </c>
      <c r="G716" s="55" t="n"/>
      <c r="H716" s="47" t="n"/>
      <c r="I716" s="47" t="n"/>
      <c r="J716" s="49" t="n"/>
      <c r="K716" s="49" t="n"/>
      <c r="L716" s="49" t="n"/>
      <c r="M716" s="49" t="n"/>
    </row>
    <row r="717" outlineLevel="1" ht="28.5" customFormat="1" customHeight="1" s="36">
      <c r="A717" s="37">
        <f>A668&amp;"_"&amp;B717</f>
        <v/>
      </c>
      <c r="B717" s="50" t="n">
        <v>48</v>
      </c>
      <c r="C717" s="185" t="n"/>
      <c r="D717" s="185" t="n"/>
      <c r="E717" s="45" t="inlineStr">
        <is>
          <t>– process weaknesses
处理弱点</t>
        </is>
      </c>
      <c r="F717" s="53" t="inlineStr">
        <is>
          <t>not applicable</t>
        </is>
      </c>
      <c r="G717" s="55" t="n"/>
      <c r="H717" s="47" t="n"/>
      <c r="I717" s="47" t="n"/>
      <c r="J717" s="49" t="n"/>
      <c r="K717" s="49" t="n"/>
      <c r="L717" s="49" t="n"/>
      <c r="M717" s="49" t="n"/>
    </row>
    <row r="718" outlineLevel="1" ht="26" customFormat="1" customHeight="1" s="36">
      <c r="A718" s="37">
        <f>A668&amp;"_"&amp;B718</f>
        <v/>
      </c>
      <c r="B718" s="42" t="n">
        <v>49</v>
      </c>
      <c r="C718" s="186" t="n"/>
      <c r="D718" s="186" t="n"/>
      <c r="E718" s="45" t="inlineStr">
        <is>
          <t>– insufficient methods方法不足</t>
        </is>
      </c>
      <c r="F718" s="53" t="inlineStr">
        <is>
          <t>not applicable</t>
        </is>
      </c>
      <c r="G718" s="55" t="n"/>
      <c r="H718" s="47" t="n"/>
      <c r="I718" s="47" t="n"/>
      <c r="J718" s="49" t="n"/>
      <c r="K718" s="49" t="n"/>
      <c r="L718" s="49" t="n"/>
      <c r="M718" s="49" t="n"/>
    </row>
    <row r="719" ht="75" customFormat="1" customHeight="1" s="36">
      <c r="A719" s="67">
        <f>'Top Event'!B18</f>
        <v/>
      </c>
      <c r="B719" s="67" t="n"/>
      <c r="C719" s="67">
        <f>'Top Event'!C18</f>
        <v/>
      </c>
      <c r="D719" s="69">
        <f>'Top Event'!D18</f>
        <v/>
      </c>
      <c r="E719" s="67">
        <f>'Top Event'!E18</f>
        <v/>
      </c>
      <c r="F719" s="66" t="n"/>
      <c r="G719" s="66" t="n"/>
      <c r="H719" s="64" t="n"/>
      <c r="I719" s="64" t="n"/>
      <c r="J719" s="36" t="n"/>
      <c r="K719" s="36" t="n"/>
      <c r="L719" s="36" t="n"/>
      <c r="M719" s="36" t="n"/>
    </row>
    <row r="720" ht="37.25" customFormat="1" customHeight="1" s="36">
      <c r="A720" s="37" t="n"/>
      <c r="B720" s="37" t="n"/>
      <c r="C720" s="38" t="inlineStr">
        <is>
          <t>DF-I Category</t>
        </is>
      </c>
      <c r="D720" s="38" t="inlineStr">
        <is>
          <t>Interpretation</t>
        </is>
      </c>
      <c r="E720" s="38" t="inlineStr">
        <is>
          <t>DF-Initiator Examples</t>
        </is>
      </c>
      <c r="F720" s="38" t="inlineStr">
        <is>
          <t>Applicable?</t>
        </is>
      </c>
      <c r="G720" s="38" t="inlineStr">
        <is>
          <t>safety  goal related</t>
        </is>
      </c>
      <c r="H720" s="39" t="inlineStr">
        <is>
          <t>Counter Measure</t>
        </is>
      </c>
      <c r="I720" s="39" t="inlineStr">
        <is>
          <t>Counter Measure ID</t>
        </is>
      </c>
      <c r="J720" s="38" t="inlineStr">
        <is>
          <t>Evidence</t>
        </is>
      </c>
      <c r="K720" s="38" t="inlineStr">
        <is>
          <t>sufficient?</t>
        </is>
      </c>
      <c r="L720" s="38" t="n"/>
      <c r="M720" s="41" t="inlineStr">
        <is>
          <t>Comment</t>
        </is>
      </c>
    </row>
    <row r="721" outlineLevel="1" ht="86" customFormat="1" customHeight="1" s="36">
      <c r="A721" s="37">
        <f>A719&amp;"_"&amp;B721</f>
        <v/>
      </c>
      <c r="B721" s="42" t="n">
        <v>1</v>
      </c>
      <c r="C721" s="183" t="inlineStr">
        <is>
          <t>Shared resource</t>
        </is>
      </c>
      <c r="D721" s="184" t="inlineStr">
        <is>
          <t>The same software, hardware, or system element instance used by the two elements which are therefore affected by the failure or unavailability of that shared resource, i.e. from a physical perspective.</t>
        </is>
      </c>
      <c r="E721" s="45" t="inlineStr">
        <is>
          <t>Software component used by more than one other software component, e.g.
– reused standard software modules
被多个其他软件组件所使用的软件组件，例如：
– 重复使用的标准软件模块</t>
        </is>
      </c>
      <c r="F721" s="53" t="inlineStr">
        <is>
          <t>not applicable</t>
        </is>
      </c>
      <c r="G721" s="55" t="n"/>
      <c r="H721" s="47" t="n"/>
      <c r="I721" s="47" t="n"/>
      <c r="J721" s="49" t="n"/>
      <c r="K721" s="49" t="n"/>
      <c r="L721" s="49" t="n"/>
      <c r="M721" s="49" t="n"/>
    </row>
    <row r="722" outlineLevel="1" ht="28.5" customFormat="1" customHeight="1" s="36">
      <c r="A722" s="37">
        <f>A719&amp;"_"&amp;B722</f>
        <v/>
      </c>
      <c r="B722" s="50" t="n">
        <v>2</v>
      </c>
      <c r="C722" s="185" t="n"/>
      <c r="D722" s="185" t="n"/>
      <c r="E722" s="45" t="inlineStr">
        <is>
          <t>– libraries
库</t>
        </is>
      </c>
      <c r="F722" s="53" t="inlineStr">
        <is>
          <t>not applicable</t>
        </is>
      </c>
      <c r="G722" s="55" t="n"/>
      <c r="H722" s="47" t="n"/>
      <c r="I722" s="47" t="n"/>
      <c r="J722" s="49" t="n"/>
      <c r="K722" s="49" t="n"/>
      <c r="L722" s="49" t="n"/>
      <c r="M722" s="49" t="n"/>
    </row>
    <row r="723" outlineLevel="1" ht="28.5" customFormat="1" customHeight="1" s="36">
      <c r="A723" s="37">
        <f>A719&amp;"_"&amp;B723</f>
        <v/>
      </c>
      <c r="B723" s="42" t="n">
        <v>3</v>
      </c>
      <c r="C723" s="185" t="n"/>
      <c r="D723" s="185" t="n"/>
      <c r="E723" s="45" t="inlineStr">
        <is>
          <t>– middleware
中间件</t>
        </is>
      </c>
      <c r="F723" s="53" t="inlineStr">
        <is>
          <t>not applicable</t>
        </is>
      </c>
      <c r="G723" s="55" t="n"/>
      <c r="H723" s="47" t="n"/>
      <c r="I723" s="47" t="n"/>
      <c r="J723" s="49" t="n"/>
      <c r="K723" s="49" t="n"/>
      <c r="L723" s="49" t="n"/>
      <c r="M723" s="49" t="n"/>
    </row>
    <row r="724" outlineLevel="1" ht="28.5" customFormat="1" customHeight="1" s="36">
      <c r="A724" s="37">
        <f>A719&amp;"_"&amp;B724</f>
        <v/>
      </c>
      <c r="B724" s="50" t="n">
        <v>4</v>
      </c>
      <c r="C724" s="185" t="n"/>
      <c r="D724" s="185" t="n"/>
      <c r="E724" s="45" t="inlineStr">
        <is>
          <t>– basic software
基本软件</t>
        </is>
      </c>
      <c r="F724" s="53" t="inlineStr">
        <is>
          <t>not applicable</t>
        </is>
      </c>
      <c r="G724" s="46" t="n"/>
      <c r="H724" s="47" t="n"/>
      <c r="I724" s="47" t="n"/>
      <c r="J724" s="48" t="n"/>
      <c r="K724" s="49" t="n"/>
      <c r="L724" s="49" t="n"/>
      <c r="M724" s="49" t="n"/>
    </row>
    <row r="725" outlineLevel="1" ht="43.5" customFormat="1" customHeight="1" s="36">
      <c r="A725" s="37">
        <f>A719&amp;"_"&amp;B725</f>
        <v/>
      </c>
      <c r="B725" s="42" t="n">
        <v>5</v>
      </c>
      <c r="C725" s="185" t="n"/>
      <c r="D725" s="185" t="n"/>
      <c r="E725" s="45" t="inlineStr">
        <is>
          <t xml:space="preserve">– operating system including scheduler
——包含调度器的操作系统
</t>
        </is>
      </c>
      <c r="F725" s="53" t="inlineStr">
        <is>
          <t>not applicable</t>
        </is>
      </c>
      <c r="G725" s="55" t="n"/>
      <c r="H725" s="47" t="n"/>
      <c r="I725" s="47" t="n"/>
      <c r="J725" s="49" t="n"/>
      <c r="K725" s="49" t="n"/>
      <c r="L725" s="49" t="n"/>
      <c r="M725" s="49" t="n"/>
    </row>
    <row r="726" outlineLevel="1" ht="28.5" customFormat="1" customHeight="1" s="36">
      <c r="A726" s="37">
        <f>A719&amp;"_"&amp;B726</f>
        <v/>
      </c>
      <c r="B726" s="50" t="n">
        <v>6</v>
      </c>
      <c r="C726" s="185" t="n"/>
      <c r="D726" s="185" t="n"/>
      <c r="E726" s="45" t="inlineStr">
        <is>
          <t>– communication stack
通信协议栈</t>
        </is>
      </c>
      <c r="F726" s="53" t="inlineStr">
        <is>
          <t>not applicable</t>
        </is>
      </c>
      <c r="G726" s="46" t="n"/>
      <c r="H726" s="47" t="n"/>
      <c r="I726" s="47" t="n"/>
      <c r="J726" s="48" t="n"/>
      <c r="K726" s="49" t="n"/>
      <c r="L726" s="49" t="n"/>
      <c r="M726" s="49" t="n"/>
    </row>
    <row r="727" outlineLevel="1" ht="29" customFormat="1" customHeight="1" s="36">
      <c r="A727" s="37">
        <f>A719&amp;"_"&amp;B727</f>
        <v/>
      </c>
      <c r="B727" s="42" t="n">
        <v>7</v>
      </c>
      <c r="C727" s="185" t="n"/>
      <c r="D727" s="185" t="n"/>
      <c r="E727" s="45" t="inlineStr">
        <is>
          <t xml:space="preserve">– parameter file参数文件
</t>
        </is>
      </c>
      <c r="F727" s="53" t="inlineStr">
        <is>
          <t>not applicable</t>
        </is>
      </c>
      <c r="G727" s="55" t="n"/>
      <c r="H727" s="47" t="n"/>
      <c r="I727" s="47" t="n"/>
      <c r="J727" s="49" t="n"/>
      <c r="K727" s="49" t="n"/>
      <c r="L727" s="49" t="n"/>
      <c r="M727" s="49" t="n"/>
    </row>
    <row r="728" outlineLevel="1" ht="28.5" customFormat="1" customHeight="1" s="36">
      <c r="A728" s="37">
        <f>A719&amp;"_"&amp;B728</f>
        <v/>
      </c>
      <c r="B728" s="50" t="n">
        <v>8</v>
      </c>
      <c r="C728" s="185" t="n"/>
      <c r="D728" s="185" t="n"/>
      <c r="E728" s="45" t="inlineStr">
        <is>
          <t>– execution time
执行时间</t>
        </is>
      </c>
      <c r="F728" s="53" t="inlineStr">
        <is>
          <t>not applicable</t>
        </is>
      </c>
      <c r="G728" s="55" t="n"/>
      <c r="H728" s="47" t="n"/>
      <c r="I728" s="47" t="n"/>
      <c r="J728" s="49" t="n"/>
      <c r="K728" s="49" t="n"/>
      <c r="L728" s="49" t="n"/>
      <c r="M728" s="49" t="n"/>
    </row>
    <row r="729" outlineLevel="1" ht="26" customFormat="1" customHeight="1" s="36">
      <c r="A729" s="37">
        <f>A719&amp;"_"&amp;B729</f>
        <v/>
      </c>
      <c r="B729" s="42" t="n">
        <v>9</v>
      </c>
      <c r="C729" s="186" t="n"/>
      <c r="D729" s="186" t="n"/>
      <c r="E729" s="45" t="inlineStr">
        <is>
          <t>– allocated memory</t>
        </is>
      </c>
      <c r="F729" s="53" t="inlineStr">
        <is>
          <t>not applicable</t>
        </is>
      </c>
      <c r="G729" s="55" t="n"/>
      <c r="H729" s="47" t="n"/>
      <c r="I729" s="47" t="n"/>
      <c r="J729" s="49" t="n"/>
      <c r="K729" s="49" t="n"/>
      <c r="L729" s="49" t="n"/>
      <c r="M729" s="49" t="n"/>
    </row>
    <row r="730" outlineLevel="1" ht="28.5" customFormat="1" customHeight="1" s="36">
      <c r="A730" s="37">
        <f>A719&amp;"_"&amp;B730</f>
        <v/>
      </c>
      <c r="B730" s="50" t="n">
        <v>10</v>
      </c>
      <c r="C730" s="187" t="inlineStr">
        <is>
          <t>Components of
identical type</t>
        </is>
      </c>
      <c r="D730" s="187" t="inlineStr">
        <is>
          <t>Identical components may fail with higher probability simultaneously (common mode failures)</t>
        </is>
      </c>
      <c r="E730" s="45" t="inlineStr">
        <is>
          <t>• Reused standard software modules
重复使用的标准软件模块</t>
        </is>
      </c>
      <c r="F730" s="53" t="inlineStr">
        <is>
          <t>not applicable</t>
        </is>
      </c>
      <c r="G730" s="46" t="n"/>
      <c r="H730" s="47" t="n"/>
      <c r="I730" s="47" t="n"/>
      <c r="J730" s="48" t="n"/>
      <c r="K730" s="49" t="n"/>
      <c r="L730" s="49" t="n"/>
      <c r="M730" s="49" t="n"/>
    </row>
    <row r="731" outlineLevel="1" ht="28.5" customFormat="1" customHeight="1" s="36">
      <c r="A731" s="37">
        <f>A719&amp;"_"&amp;B731</f>
        <v/>
      </c>
      <c r="B731" s="42" t="n">
        <v>11</v>
      </c>
      <c r="C731" s="185" t="n"/>
      <c r="D731" s="185" t="n"/>
      <c r="E731" s="45" t="inlineStr">
        <is>
          <t>• Standard library components
标准库组件</t>
        </is>
      </c>
      <c r="F731" s="53" t="inlineStr">
        <is>
          <t>not applicable</t>
        </is>
      </c>
      <c r="G731" s="46" t="n"/>
      <c r="H731" s="47" t="n"/>
      <c r="I731" s="47" t="n"/>
      <c r="J731" s="48" t="n"/>
      <c r="K731" s="49" t="n"/>
      <c r="L731" s="49" t="n"/>
      <c r="M731" s="49" t="n"/>
    </row>
    <row r="732" outlineLevel="1" ht="28.5" customFormat="1" customHeight="1" s="36">
      <c r="A732" s="37">
        <f>A719&amp;"_"&amp;B732</f>
        <v/>
      </c>
      <c r="B732" s="50" t="n">
        <v>12</v>
      </c>
      <c r="C732" s="185" t="n"/>
      <c r="D732" s="185" t="n"/>
      <c r="E732" s="45" t="inlineStr">
        <is>
          <t>• Middleware
中间件</t>
        </is>
      </c>
      <c r="F732" s="53" t="inlineStr">
        <is>
          <t>not applicable</t>
        </is>
      </c>
      <c r="G732" s="55" t="n"/>
      <c r="H732" s="47" t="n"/>
      <c r="I732" s="47" t="n"/>
      <c r="J732" s="49" t="n"/>
      <c r="K732" s="49" t="n"/>
      <c r="L732" s="49" t="n"/>
      <c r="M732" s="49" t="n"/>
    </row>
    <row r="733" outlineLevel="1" ht="28.5" customFormat="1" customHeight="1" s="36">
      <c r="A733" s="37">
        <f>A719&amp;"_"&amp;B733</f>
        <v/>
      </c>
      <c r="B733" s="42" t="n">
        <v>13</v>
      </c>
      <c r="C733" s="185" t="n"/>
      <c r="D733" s="185" t="n"/>
      <c r="E733" s="45" t="inlineStr">
        <is>
          <t>• Operating system
操作系统</t>
        </is>
      </c>
      <c r="F733" s="53" t="inlineStr">
        <is>
          <t>not applicable</t>
        </is>
      </c>
      <c r="G733" s="55" t="n"/>
      <c r="H733" s="47" t="n"/>
      <c r="I733" s="47" t="n"/>
      <c r="J733" s="49" t="n"/>
      <c r="K733" s="49" t="n"/>
      <c r="L733" s="49" t="n"/>
      <c r="M733" s="49" t="n"/>
    </row>
    <row r="734" outlineLevel="1" ht="28.5" customFormat="1" customHeight="1" s="36">
      <c r="A734" s="37">
        <f>A719&amp;"_"&amp;B734</f>
        <v/>
      </c>
      <c r="B734" s="50" t="n">
        <v>14</v>
      </c>
      <c r="C734" s="185" t="n"/>
      <c r="D734" s="185" t="n"/>
      <c r="E734" s="45" t="inlineStr">
        <is>
          <t>• Communication stack
通信栈</t>
        </is>
      </c>
      <c r="F734" s="53" t="inlineStr">
        <is>
          <t>not applicable</t>
        </is>
      </c>
      <c r="G734" s="55" t="n"/>
      <c r="H734" s="47" t="n"/>
      <c r="I734" s="47" t="n"/>
      <c r="J734" s="49" t="n"/>
      <c r="K734" s="49" t="n"/>
      <c r="L734" s="49" t="n"/>
      <c r="M734" s="49" t="n"/>
    </row>
    <row r="735" outlineLevel="1" ht="58" customFormat="1" customHeight="1" s="36">
      <c r="A735" s="37">
        <f>A719&amp;"_"&amp;B735</f>
        <v/>
      </c>
      <c r="B735" s="42" t="n">
        <v>15</v>
      </c>
      <c r="C735" s="186" t="n"/>
      <c r="D735" s="186" t="n"/>
      <c r="E735" s="45" t="inlineStr">
        <is>
          <t xml:space="preserve">
• Parameter set
参数设置
</t>
        </is>
      </c>
      <c r="F735" s="53" t="inlineStr">
        <is>
          <t>not applicable</t>
        </is>
      </c>
      <c r="G735" s="55" t="n"/>
      <c r="H735" s="47" t="n"/>
      <c r="I735" s="47" t="n"/>
      <c r="J735" s="49" t="n"/>
      <c r="K735" s="49" t="n"/>
      <c r="L735" s="49" t="n"/>
      <c r="M735" s="49" t="n"/>
    </row>
    <row r="736" outlineLevel="1" ht="100.5" customFormat="1" customHeight="1" s="36">
      <c r="A736" s="37">
        <f>A719&amp;"_"&amp;B736</f>
        <v/>
      </c>
      <c r="B736" s="50" t="n">
        <v>16</v>
      </c>
      <c r="C736" s="187" t="inlineStr">
        <is>
          <t>Communication
between the two
functions</t>
        </is>
      </c>
      <c r="D736" s="184" t="inlineStr">
        <is>
          <t>Receiving function is affected by information that is false, lost, sent multiple times, or in the wrong order etc. from the sender</t>
        </is>
      </c>
      <c r="E736"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736" s="45" t="inlineStr">
        <is>
          <t xml:space="preserve">Yes </t>
        </is>
      </c>
      <c r="G736" s="46" t="inlineStr">
        <is>
          <t>不违背安全目标</t>
        </is>
      </c>
      <c r="H736" s="47" t="inlineStr">
        <is>
          <t>1：支持硬线制动灯点亮</t>
        </is>
      </c>
      <c r="I736" s="47" t="inlineStr">
        <is>
          <t>SW_DFA_SM_001</t>
        </is>
      </c>
      <c r="J736" s="48" t="inlineStr">
        <is>
          <t>通过集成测试</t>
        </is>
      </c>
      <c r="K736" s="49" t="inlineStr">
        <is>
          <t>满足ASILB开发和测试</t>
        </is>
      </c>
      <c r="L736" s="49" t="n"/>
      <c r="M736" s="49" t="n"/>
    </row>
    <row r="737" outlineLevel="1" ht="72.5" customFormat="1" customHeight="1" s="36">
      <c r="A737" s="37">
        <f>A719&amp;"_"&amp;B737</f>
        <v/>
      </c>
      <c r="B737" s="42" t="n">
        <v>17</v>
      </c>
      <c r="C737" s="185" t="n"/>
      <c r="D737" s="185" t="n"/>
      <c r="E737" s="45" t="inlineStr">
        <is>
          <t>• Data or message corruption/ repetition*/ loss*/ delay*/ masquerading or incorrect addressing of information*
数据或信息的损坏/重复/丢失/延迟/伪装或信息的错误标识*</t>
        </is>
      </c>
      <c r="F737" s="53" t="inlineStr">
        <is>
          <t>not applicable</t>
        </is>
      </c>
      <c r="G737" s="55" t="n"/>
      <c r="H737" s="47" t="n"/>
      <c r="I737" s="47" t="n"/>
      <c r="J737" s="49" t="n"/>
      <c r="K737" s="49" t="n"/>
      <c r="L737" s="49" t="n"/>
      <c r="M737" s="49" t="n"/>
    </row>
    <row r="738" outlineLevel="1" ht="49" customFormat="1" customHeight="1" s="36">
      <c r="A738" s="37">
        <f>A719&amp;"_"&amp;B738</f>
        <v/>
      </c>
      <c r="B738" s="50" t="n">
        <v>18</v>
      </c>
      <c r="C738" s="185" t="n"/>
      <c r="D738" s="185" t="n"/>
      <c r="E738" s="45" t="inlineStr">
        <is>
          <t>• Insertion*/ sequence of information*
插入* / 信息序列*</t>
        </is>
      </c>
      <c r="F738" s="53" t="inlineStr">
        <is>
          <t>not applicable</t>
        </is>
      </c>
      <c r="G738" s="55" t="n"/>
      <c r="H738" s="47" t="n"/>
      <c r="I738" s="47" t="n"/>
      <c r="J738" s="49" t="n"/>
      <c r="K738" s="49" t="n"/>
      <c r="L738" s="49" t="n"/>
      <c r="M738" s="49" t="n"/>
    </row>
    <row r="739" outlineLevel="1" ht="48" customFormat="1" customHeight="1" s="36">
      <c r="A739" s="37">
        <f>A719&amp;"_"&amp;B739</f>
        <v/>
      </c>
      <c r="B739" s="42" t="n">
        <v>19</v>
      </c>
      <c r="C739" s="185" t="n"/>
      <c r="D739" s="185" t="n"/>
      <c r="E739" s="45" t="inlineStr">
        <is>
          <t>• Corruption of information*
信息的失真*</t>
        </is>
      </c>
      <c r="F739" s="53" t="inlineStr">
        <is>
          <t>not applicable</t>
        </is>
      </c>
      <c r="G739" s="55" t="n"/>
      <c r="H739" s="47" t="n"/>
      <c r="I739" s="47" t="n"/>
      <c r="J739" s="49" t="n"/>
      <c r="K739" s="49" t="n"/>
      <c r="L739" s="49" t="n"/>
      <c r="M739" s="49" t="n"/>
    </row>
    <row r="740" outlineLevel="1" ht="48" customFormat="1" customHeight="1" s="36">
      <c r="A740" s="37">
        <f>A719&amp;"_"&amp;B740</f>
        <v/>
      </c>
      <c r="B740" s="50" t="n">
        <v>20</v>
      </c>
      <c r="C740" s="185" t="n"/>
      <c r="D740" s="185" t="n"/>
      <c r="E740" s="45" t="inlineStr">
        <is>
          <t>• Asymmetric information sent from a sender to multiple receivers*
从发送者传向多个接收者的不对称信息*</t>
        </is>
      </c>
      <c r="F740" s="53" t="inlineStr">
        <is>
          <t>not applicable</t>
        </is>
      </c>
      <c r="G740" s="55" t="n"/>
      <c r="H740" s="47" t="n"/>
      <c r="I740" s="47" t="n"/>
      <c r="J740" s="49" t="n"/>
      <c r="K740" s="49" t="n"/>
      <c r="L740" s="49" t="n"/>
      <c r="M740" s="49" t="n"/>
    </row>
    <row r="741" outlineLevel="1" ht="48" customFormat="1" customHeight="1" s="36">
      <c r="A741" s="37">
        <f>A719&amp;"_"&amp;B741</f>
        <v/>
      </c>
      <c r="B741" s="42" t="n">
        <v>21</v>
      </c>
      <c r="C741" s="185" t="n"/>
      <c r="D741" s="185" t="n"/>
      <c r="E741" s="45" t="inlineStr">
        <is>
          <t>• Information from a sender received by only a subset of the receivers*
仅部分接收者接收到的来自发送者的信息*</t>
        </is>
      </c>
      <c r="F741" s="53" t="inlineStr">
        <is>
          <t>not applicable</t>
        </is>
      </c>
      <c r="G741" s="55" t="n"/>
      <c r="H741" s="47" t="n"/>
      <c r="I741" s="47" t="n"/>
      <c r="J741" s="49" t="n"/>
      <c r="K741" s="49" t="n"/>
      <c r="L741" s="49" t="n"/>
      <c r="M741" s="49" t="n"/>
    </row>
    <row r="742" outlineLevel="1" ht="43.5" customFormat="1" customHeight="1" s="36">
      <c r="A742" s="37">
        <f>A719&amp;"_"&amp;B742</f>
        <v/>
      </c>
      <c r="B742" s="50" t="n">
        <v>22</v>
      </c>
      <c r="C742" s="186" t="n"/>
      <c r="D742" s="186" t="n"/>
      <c r="E742" s="45" t="inlineStr">
        <is>
          <t>• Blocking access to a communication channel*
阻止对通信通道的访问*</t>
        </is>
      </c>
      <c r="F742" s="53" t="inlineStr">
        <is>
          <t>not applicable</t>
        </is>
      </c>
      <c r="G742" s="46" t="n"/>
      <c r="H742" s="47" t="n"/>
      <c r="I742" s="47" t="n"/>
      <c r="J742" s="48" t="n"/>
      <c r="K742" s="49" t="n"/>
      <c r="L742" s="49" t="n"/>
      <c r="M742" s="49" t="n"/>
    </row>
    <row r="743" outlineLevel="1" ht="45" customFormat="1" customHeight="1" s="36">
      <c r="A743" s="37">
        <f>A719&amp;"_"&amp;B743</f>
        <v/>
      </c>
      <c r="B743" s="42" t="n">
        <v>23</v>
      </c>
      <c r="C743" s="187" t="inlineStr">
        <is>
          <t>Shared information
inputs</t>
        </is>
      </c>
      <c r="D743" s="187" t="inlineStr">
        <is>
          <t>Same information consumed by the two functions even in absence of shared resources, i.e. from a functional perspective</t>
        </is>
      </c>
      <c r="E743" s="45" t="inlineStr">
        <is>
          <t>• Calibration parameters
标准参数</t>
        </is>
      </c>
      <c r="F743" s="53" t="inlineStr">
        <is>
          <t>not applicable</t>
        </is>
      </c>
      <c r="G743" s="55" t="n"/>
      <c r="H743" s="47" t="n"/>
      <c r="I743" s="47" t="n"/>
      <c r="J743" s="49" t="n"/>
      <c r="K743" s="49" t="n"/>
      <c r="L743" s="49" t="n"/>
      <c r="M743" s="49" t="n"/>
    </row>
    <row r="744" outlineLevel="1" ht="57" customFormat="1" customHeight="1" s="36">
      <c r="A744" s="37">
        <f>A719&amp;"_"&amp;B744</f>
        <v/>
      </c>
      <c r="B744" s="50" t="n">
        <v>24</v>
      </c>
      <c r="C744" s="185" t="n"/>
      <c r="D744" s="185" t="n"/>
      <c r="E744" s="45" t="inlineStr">
        <is>
          <t>• Constants, or variables, being global to the two software functions
常量或变量对于这两个软件功能而言是全局性的。</t>
        </is>
      </c>
      <c r="F744" s="53" t="inlineStr">
        <is>
          <t>not applicable</t>
        </is>
      </c>
      <c r="G744" s="46" t="n"/>
      <c r="H744" s="47" t="n"/>
      <c r="I744" s="47" t="n"/>
      <c r="J744" s="48" t="n"/>
      <c r="K744" s="49" t="n"/>
      <c r="L744" s="49" t="n"/>
      <c r="M744" s="49" t="n"/>
    </row>
    <row r="745" outlineLevel="1" ht="100" customFormat="1" customHeight="1" s="36">
      <c r="A745" s="37">
        <f>A719&amp;"_"&amp;B745</f>
        <v/>
      </c>
      <c r="B745" s="42" t="n">
        <v>25</v>
      </c>
      <c r="C745" s="185" t="n"/>
      <c r="D745" s="185" t="n"/>
      <c r="E745" s="45" t="inlineStr">
        <is>
          <t>• Basic software passes data (read from hardware register and converted into logical information) to two application software functions
基础软件会将数据（从硬件寄存器读取并转换为逻辑信息）传递给两个应用程序软件功能。</t>
        </is>
      </c>
      <c r="F745" s="53" t="inlineStr">
        <is>
          <t>not applicable</t>
        </is>
      </c>
      <c r="G745" s="55" t="n"/>
      <c r="H745" s="47" t="n"/>
      <c r="I745" s="47" t="n"/>
      <c r="J745" s="49" t="n"/>
      <c r="K745" s="49" t="n"/>
      <c r="L745" s="49" t="n"/>
      <c r="M745" s="49" t="n"/>
    </row>
    <row r="746" outlineLevel="1" ht="115.5" customFormat="1" customHeight="1" s="36">
      <c r="A746" s="37">
        <f>A719&amp;"_"&amp;B746</f>
        <v/>
      </c>
      <c r="B746" s="50" t="n">
        <v>26</v>
      </c>
      <c r="C746" s="186" t="n"/>
      <c r="D746" s="186" t="n"/>
      <c r="E746"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746" s="53" t="inlineStr">
        <is>
          <t>not applicable</t>
        </is>
      </c>
      <c r="G746" s="55" t="n"/>
      <c r="H746" s="47" t="n"/>
      <c r="I746" s="47" t="n"/>
      <c r="J746" s="49" t="n"/>
      <c r="K746" s="49" t="n"/>
      <c r="L746" s="49" t="n"/>
      <c r="M746" s="49" t="n"/>
    </row>
    <row r="747" outlineLevel="1" ht="68.5" customFormat="1" customHeight="1" s="36">
      <c r="A747" s="37">
        <f>A719&amp;"_"&amp;B747</f>
        <v/>
      </c>
      <c r="B747" s="42" t="n">
        <v>27</v>
      </c>
      <c r="C747" s="187" t="inlineStr">
        <is>
          <t>Environmental
influences</t>
        </is>
      </c>
      <c r="D747" s="184" t="inlineStr">
        <is>
          <t>Common external environmental disturbance affects both functions</t>
        </is>
      </c>
      <c r="E747" s="45" t="inlineStr">
        <is>
          <t xml:space="preserve">System-level: mechanical shock, water ingress
 系统层面：机械震动、进水                                                                                                                                                                </t>
        </is>
      </c>
      <c r="F747" s="53" t="inlineStr">
        <is>
          <t>not applicable</t>
        </is>
      </c>
      <c r="G747" s="55" t="n"/>
      <c r="H747" s="47" t="n"/>
      <c r="I747" s="47" t="n"/>
      <c r="J747" s="49" t="n"/>
      <c r="K747" s="49" t="n"/>
      <c r="L747" s="49" t="n"/>
      <c r="M747" s="49" t="n"/>
    </row>
    <row r="748" outlineLevel="1" ht="28.5" customFormat="1" customHeight="1" s="36">
      <c r="A748" s="37">
        <f>A719&amp;"_"&amp;B748</f>
        <v/>
      </c>
      <c r="B748" s="50" t="n">
        <v>28</v>
      </c>
      <c r="C748" s="185" t="n"/>
      <c r="D748" s="185" t="n"/>
      <c r="E748" s="45" t="inlineStr">
        <is>
          <t>Software-level: not applicable for Software
软件层面：不适用于软件</t>
        </is>
      </c>
      <c r="F748" s="53" t="inlineStr">
        <is>
          <t>not applicable</t>
        </is>
      </c>
      <c r="G748" s="55" t="n"/>
      <c r="H748" s="47" t="n"/>
      <c r="I748" s="47" t="n"/>
      <c r="J748" s="49" t="n"/>
      <c r="K748" s="49" t="n"/>
      <c r="L748" s="49" t="n"/>
      <c r="M748" s="49" t="n"/>
    </row>
    <row r="749" outlineLevel="1" ht="43" customFormat="1" customHeight="1" s="36">
      <c r="A749" s="37">
        <f>A719&amp;"_"&amp;B749</f>
        <v/>
      </c>
      <c r="B749" s="42" t="n">
        <v>29</v>
      </c>
      <c r="C749" s="186" t="n"/>
      <c r="D749" s="186" t="n"/>
      <c r="E749" s="45" t="inlineStr">
        <is>
          <t>Hardware-level: under and over voltage of the power supply        
硬件层面：电源的欠压和过压情况</t>
        </is>
      </c>
      <c r="F749" s="53" t="inlineStr">
        <is>
          <t>not applicable</t>
        </is>
      </c>
      <c r="G749" s="55" t="n"/>
      <c r="H749" s="47" t="n"/>
      <c r="I749" s="47" t="n"/>
      <c r="J749" s="49" t="n"/>
      <c r="K749" s="49" t="n"/>
      <c r="L749" s="49" t="n"/>
      <c r="M749" s="49" t="n"/>
    </row>
    <row r="750" outlineLevel="1" ht="72.5" customFormat="1" customHeight="1" s="36">
      <c r="A750" s="37">
        <f>A719&amp;"_"&amp;B750</f>
        <v/>
      </c>
      <c r="B750" s="50" t="n">
        <v>30</v>
      </c>
      <c r="C750" s="187" t="inlineStr">
        <is>
          <t>Unintended impact</t>
        </is>
      </c>
      <c r="D750" s="187" t="inlineStr">
        <is>
          <t>Two functions affecting each other’s elements directly via an implicit, that is unintended interface.</t>
        </is>
      </c>
      <c r="E750" s="45" t="inlineStr">
        <is>
          <t>• Memory / corruption of content*
– “wild pointers“ (including program counter stack)
内存/内容损坏*
——“失控指针”（包括程序计数器栈</t>
        </is>
      </c>
      <c r="F750" s="45" t="inlineStr">
        <is>
          <t xml:space="preserve">Yes </t>
        </is>
      </c>
      <c r="G750" s="46" t="inlineStr">
        <is>
          <t>不违背安全目标</t>
        </is>
      </c>
      <c r="H750" s="47" t="inlineStr">
        <is>
          <t>1：支持硬线制动灯点亮</t>
        </is>
      </c>
      <c r="I750" s="47" t="inlineStr">
        <is>
          <t>SW_DFA_SM_001</t>
        </is>
      </c>
      <c r="J750" s="48" t="inlineStr">
        <is>
          <t>通过集成测试</t>
        </is>
      </c>
      <c r="K750" s="49" t="inlineStr">
        <is>
          <t>满足ASILB开发和测试</t>
        </is>
      </c>
      <c r="L750" s="49" t="n"/>
      <c r="M750" s="49" t="n"/>
    </row>
    <row r="751" outlineLevel="1" ht="29" customFormat="1" customHeight="1" s="36">
      <c r="A751" s="37">
        <f>A719&amp;"_"&amp;B751</f>
        <v/>
      </c>
      <c r="B751" s="42" t="n">
        <v>31</v>
      </c>
      <c r="C751" s="185" t="n"/>
      <c r="D751" s="185" t="n"/>
      <c r="E751" s="45" t="inlineStr">
        <is>
          <t>– memory mis-allocation
——内存分配错误</t>
        </is>
      </c>
      <c r="F751" s="45" t="inlineStr">
        <is>
          <t xml:space="preserve">Yes </t>
        </is>
      </c>
      <c r="G751" s="46" t="inlineStr">
        <is>
          <t>不违背安全目标</t>
        </is>
      </c>
      <c r="H751" s="47" t="inlineStr">
        <is>
          <t>1：支持硬线制动灯点亮</t>
        </is>
      </c>
      <c r="I751" s="47" t="inlineStr">
        <is>
          <t>SW_DFA_SM_001</t>
        </is>
      </c>
      <c r="J751" s="48" t="inlineStr">
        <is>
          <t>通过集成测试</t>
        </is>
      </c>
      <c r="K751" s="49" t="inlineStr">
        <is>
          <t>满足ASILB开发和测试</t>
        </is>
      </c>
      <c r="L751" s="49" t="n"/>
      <c r="M751" s="49" t="n"/>
    </row>
    <row r="752" outlineLevel="1" ht="28.5" customFormat="1" customHeight="1" s="36">
      <c r="A752" s="37">
        <f>A719&amp;"_"&amp;B752</f>
        <v/>
      </c>
      <c r="B752" s="50" t="n">
        <v>32</v>
      </c>
      <c r="C752" s="185" t="n"/>
      <c r="D752" s="185" t="n"/>
      <c r="E752" s="45" t="inlineStr">
        <is>
          <t>– memory leaks
内存泄漏</t>
        </is>
      </c>
      <c r="F752" s="45" t="inlineStr">
        <is>
          <t xml:space="preserve">Yes </t>
        </is>
      </c>
      <c r="G752" s="46" t="inlineStr">
        <is>
          <t>不违背安全目标</t>
        </is>
      </c>
      <c r="H752" s="47" t="inlineStr">
        <is>
          <t>1：支持硬线制动灯点亮</t>
        </is>
      </c>
      <c r="I752" s="47" t="inlineStr">
        <is>
          <t>SW_DFA_SM_001</t>
        </is>
      </c>
      <c r="J752" s="48" t="inlineStr">
        <is>
          <t>通过集成测试</t>
        </is>
      </c>
      <c r="K752" s="49" t="inlineStr">
        <is>
          <t>满足ASILB开发和测试</t>
        </is>
      </c>
      <c r="L752" s="49" t="n"/>
      <c r="M752" s="49" t="n"/>
    </row>
    <row r="753" outlineLevel="1" ht="58" customFormat="1" customHeight="1" s="36">
      <c r="A753" s="37">
        <f>A719&amp;"_"&amp;B753</f>
        <v/>
      </c>
      <c r="B753" s="42" t="n">
        <v>33</v>
      </c>
      <c r="C753" s="185" t="n"/>
      <c r="D753" s="185" t="n"/>
      <c r="E753" s="45" t="inlineStr">
        <is>
          <t>– read/write access to memory allocated to another software element*
—— 对分配给其他软件组件的内存的读/写访问权限*</t>
        </is>
      </c>
      <c r="F753" s="53" t="inlineStr">
        <is>
          <t>not applicable</t>
        </is>
      </c>
      <c r="G753" s="55" t="n"/>
      <c r="H753" s="47" t="n"/>
      <c r="I753" s="47" t="n"/>
      <c r="J753" s="49" t="n"/>
      <c r="K753" s="49" t="n"/>
      <c r="L753" s="49" t="n"/>
      <c r="M753" s="49" t="n"/>
    </row>
    <row r="754" outlineLevel="1" ht="29" customFormat="1" customHeight="1" s="36">
      <c r="A754" s="37">
        <f>A719&amp;"_"&amp;B754</f>
        <v/>
      </c>
      <c r="B754" s="50" t="n">
        <v>34</v>
      </c>
      <c r="C754" s="185" t="n"/>
      <c r="D754" s="185" t="n"/>
      <c r="E754" s="45" t="inlineStr">
        <is>
          <t>– buffer under-/overflow
– 缓冲区下溢/上溢</t>
        </is>
      </c>
      <c r="F754" s="53" t="inlineStr">
        <is>
          <t>not applicable</t>
        </is>
      </c>
      <c r="G754" s="55" t="n"/>
      <c r="H754" s="47" t="n"/>
      <c r="I754" s="47" t="n"/>
      <c r="J754" s="49" t="n"/>
      <c r="K754" s="49" t="n"/>
      <c r="L754" s="49" t="n"/>
      <c r="M754" s="49" t="n"/>
    </row>
    <row r="755" outlineLevel="1" ht="57.5" customFormat="1" customHeight="1" s="36">
      <c r="A755" s="37">
        <f>A719&amp;"_"&amp;B755</f>
        <v/>
      </c>
      <c r="B755" s="42" t="n">
        <v>35</v>
      </c>
      <c r="C755" s="185" t="n"/>
      <c r="D755" s="185" t="n"/>
      <c r="E755" s="45" t="inlineStr">
        <is>
          <t>• Timing and execution
– deadlocks*
时机与执行
——死锁*</t>
        </is>
      </c>
      <c r="F755" s="53" t="inlineStr">
        <is>
          <t>not applicable</t>
        </is>
      </c>
      <c r="G755" s="55" t="n"/>
      <c r="H755" s="47" t="n"/>
      <c r="I755" s="47" t="n"/>
      <c r="J755" s="49" t="n"/>
      <c r="K755" s="49" t="n"/>
      <c r="L755" s="49" t="n"/>
      <c r="M755" s="49" t="n"/>
    </row>
    <row r="756" outlineLevel="1" ht="28.5" customFormat="1" customHeight="1" s="36">
      <c r="A756" s="37">
        <f>A719&amp;"_"&amp;B756</f>
        <v/>
      </c>
      <c r="B756" s="50" t="n">
        <v>36</v>
      </c>
      <c r="C756" s="185" t="n"/>
      <c r="D756" s="185" t="n"/>
      <c r="E756" s="45" t="inlineStr">
        <is>
          <t>– livelocks*
活锁</t>
        </is>
      </c>
      <c r="F756" s="53" t="inlineStr">
        <is>
          <t>not applicable</t>
        </is>
      </c>
      <c r="G756" s="55" t="n"/>
      <c r="H756" s="47" t="n"/>
      <c r="I756" s="47" t="n"/>
      <c r="J756" s="49" t="n"/>
      <c r="K756" s="49" t="n"/>
      <c r="L756" s="49" t="n"/>
      <c r="M756" s="49" t="n"/>
    </row>
    <row r="757" outlineLevel="1" ht="29" customFormat="1" customHeight="1" s="36">
      <c r="A757" s="37">
        <f>A719&amp;"_"&amp;B757</f>
        <v/>
      </c>
      <c r="B757" s="42" t="n">
        <v>37</v>
      </c>
      <c r="C757" s="185" t="n"/>
      <c r="D757" s="185" t="n"/>
      <c r="E757" s="45" t="inlineStr">
        <is>
          <t>– incorrect allocation of execution time*
——执行时间分配不当*</t>
        </is>
      </c>
      <c r="F757" s="53" t="inlineStr">
        <is>
          <t>not applicable</t>
        </is>
      </c>
      <c r="G757" s="55" t="n"/>
      <c r="H757" s="47" t="n"/>
      <c r="I757" s="47" t="n"/>
      <c r="J757" s="49" t="n"/>
      <c r="K757" s="49" t="n"/>
      <c r="L757" s="49" t="n"/>
      <c r="M757" s="49" t="n"/>
    </row>
    <row r="758" outlineLevel="1" ht="43.5" customFormat="1" customHeight="1" s="36">
      <c r="A758" s="37">
        <f>A719&amp;"_"&amp;B758</f>
        <v/>
      </c>
      <c r="B758" s="50" t="n">
        <v>38</v>
      </c>
      <c r="C758" s="186" t="n"/>
      <c r="D758" s="186" t="n"/>
      <c r="E758" s="45" t="inlineStr">
        <is>
          <t>– incorrect synchronization between software elements*
——软件各组成部分之间的同步不正确*</t>
        </is>
      </c>
      <c r="F758" s="53" t="inlineStr">
        <is>
          <t>not applicable</t>
        </is>
      </c>
      <c r="G758" s="46" t="n"/>
      <c r="H758" s="47" t="n"/>
      <c r="I758" s="47" t="n"/>
      <c r="J758" s="48" t="n"/>
      <c r="K758" s="49" t="n"/>
      <c r="L758" s="49" t="n"/>
      <c r="M758" s="49" t="n"/>
    </row>
    <row r="759" outlineLevel="1" ht="72" customFormat="1" customHeight="1" s="36">
      <c r="A759" s="37">
        <f>A719&amp;"_"&amp;B759</f>
        <v/>
      </c>
      <c r="B759" s="42" t="n">
        <v>39</v>
      </c>
      <c r="C759" s="187" t="inlineStr">
        <is>
          <t>Systematic coupling</t>
        </is>
      </c>
      <c r="D759" s="187" t="inlineStr">
        <is>
          <t>Systematic causes from human or tool errors can lead to the simultaneous failure of more than one function</t>
        </is>
      </c>
      <c r="E759" s="45" t="inlineStr">
        <is>
          <t>• Manufacturing fault / repair fault (e.g. false flashing, false calibration reference for sensors)
制造故障/维修故障（例如：错误的闪烁现象、传感器的错误校准参考值）</t>
        </is>
      </c>
      <c r="F759" s="53" t="inlineStr">
        <is>
          <t>not applicable</t>
        </is>
      </c>
      <c r="G759" s="55" t="n"/>
      <c r="H759" s="47" t="n"/>
      <c r="I759" s="47" t="n"/>
      <c r="J759" s="49" t="n"/>
      <c r="K759" s="49" t="n"/>
      <c r="L759" s="49" t="n"/>
      <c r="M759" s="49" t="n"/>
    </row>
    <row r="760" outlineLevel="1" ht="115.5" customFormat="1" customHeight="1" s="36">
      <c r="A760" s="37">
        <f>A719&amp;"_"&amp;B760</f>
        <v/>
      </c>
      <c r="B760" s="50" t="n">
        <v>40</v>
      </c>
      <c r="C760" s="185" t="n"/>
      <c r="D760" s="185" t="n"/>
      <c r="E760" s="61" t="inlineStr">
        <is>
          <t xml:space="preserve">• Non-diverse development approaches including:
– same software tools (e.g. IDE, compiler, linker)
非多元化的发展方式包括：
——相同的软件工具（例如集成开发环境、编译器、链接器）
</t>
        </is>
      </c>
      <c r="F760" s="45" t="inlineStr">
        <is>
          <t xml:space="preserve">Yes </t>
        </is>
      </c>
      <c r="G760" s="62" t="inlineStr">
        <is>
          <t>代码异常导致的违背安全目标</t>
        </is>
      </c>
      <c r="H760" s="63" t="inlineStr">
        <is>
          <t>工具鉴定</t>
        </is>
      </c>
      <c r="I760" s="63" t="n"/>
      <c r="J760" s="49" t="inlineStr">
        <is>
          <t>通过集成测试</t>
        </is>
      </c>
      <c r="K760" s="68" t="inlineStr">
        <is>
          <t>满足ASILB开发和测试</t>
        </is>
      </c>
      <c r="L760" s="68" t="n"/>
      <c r="M760" s="49" t="n"/>
    </row>
    <row r="761" outlineLevel="1" ht="28.5" customFormat="1" customHeight="1" s="36">
      <c r="A761" s="37">
        <f>A719&amp;"_"&amp;B761</f>
        <v/>
      </c>
      <c r="B761" s="42" t="n">
        <v>41</v>
      </c>
      <c r="C761" s="185" t="n"/>
      <c r="D761" s="185" t="n"/>
      <c r="E761" s="61" t="inlineStr">
        <is>
          <t>– same algorithms
相同的算法</t>
        </is>
      </c>
      <c r="F761" s="53" t="inlineStr">
        <is>
          <t>not applicable</t>
        </is>
      </c>
      <c r="G761" s="46" t="n"/>
      <c r="H761" s="47" t="n"/>
      <c r="I761" s="47" t="n"/>
      <c r="J761" s="48" t="n"/>
      <c r="K761" s="49" t="n"/>
      <c r="L761" s="49" t="n"/>
      <c r="M761" s="49" t="n"/>
    </row>
    <row r="762" outlineLevel="1" ht="43.5" customFormat="1" customHeight="1" s="36">
      <c r="A762" s="37">
        <f>A719&amp;"_"&amp;B762</f>
        <v/>
      </c>
      <c r="B762" s="50" t="n">
        <v>42</v>
      </c>
      <c r="C762" s="185" t="n"/>
      <c r="D762" s="185" t="n"/>
      <c r="E762" s="61" t="inlineStr">
        <is>
          <t>– same programming and/or modelling language used
所使用的编程和/或建模语言相同</t>
        </is>
      </c>
      <c r="F762" s="45" t="inlineStr">
        <is>
          <t xml:space="preserve">Yes </t>
        </is>
      </c>
      <c r="G762" s="62" t="inlineStr">
        <is>
          <t>代码异常导致的违背安全目标</t>
        </is>
      </c>
      <c r="H762" s="63" t="inlineStr">
        <is>
          <t>工具鉴定</t>
        </is>
      </c>
      <c r="I762" s="47" t="n"/>
      <c r="J762" s="49" t="inlineStr">
        <is>
          <t>通过集成测试</t>
        </is>
      </c>
      <c r="K762" s="49" t="inlineStr">
        <is>
          <t>满足ASILB开发和测试</t>
        </is>
      </c>
      <c r="L762" s="49" t="n"/>
      <c r="M762" s="49" t="n"/>
    </row>
    <row r="763" outlineLevel="1" ht="29" customFormat="1" customHeight="1" s="36">
      <c r="A763" s="37">
        <f>A719&amp;"_"&amp;B763</f>
        <v/>
      </c>
      <c r="B763" s="42" t="n">
        <v>43</v>
      </c>
      <c r="C763" s="185" t="n"/>
      <c r="D763" s="185" t="n"/>
      <c r="E763" s="61" t="inlineStr">
        <is>
          <t>– same complier/linker used
使用的是相同的编译器/链接器</t>
        </is>
      </c>
      <c r="F763" s="45" t="inlineStr">
        <is>
          <t xml:space="preserve">Yes </t>
        </is>
      </c>
      <c r="G763" s="62" t="inlineStr">
        <is>
          <t>代码异常导致的违背安全目标</t>
        </is>
      </c>
      <c r="H763" s="63" t="inlineStr">
        <is>
          <t>工具鉴定</t>
        </is>
      </c>
      <c r="I763" s="47" t="n"/>
      <c r="J763" s="49" t="inlineStr">
        <is>
          <t>通过集成测试</t>
        </is>
      </c>
      <c r="K763" s="49" t="inlineStr">
        <is>
          <t>满足ASILB开发和测试</t>
        </is>
      </c>
      <c r="L763" s="49" t="n"/>
      <c r="M763" s="49" t="n"/>
    </row>
    <row r="764" outlineLevel="1" ht="28.5" customFormat="1" customHeight="1" s="36">
      <c r="A764" s="37">
        <f>A719&amp;"_"&amp;B764</f>
        <v/>
      </c>
      <c r="B764" s="50" t="n">
        <v>44</v>
      </c>
      <c r="C764" s="185" t="n"/>
      <c r="D764" s="185" t="n"/>
      <c r="E764" s="45" t="inlineStr">
        <is>
          <t>• Same personnel
相同人员</t>
        </is>
      </c>
      <c r="F764" s="53" t="inlineStr">
        <is>
          <t>not applicable</t>
        </is>
      </c>
      <c r="G764" s="55" t="n"/>
      <c r="H764" s="47" t="n"/>
      <c r="I764" s="47" t="n"/>
      <c r="J764" s="49" t="n"/>
      <c r="K764" s="49" t="n"/>
      <c r="L764" s="49" t="n"/>
      <c r="M764" s="49" t="n"/>
    </row>
    <row r="765" outlineLevel="1" ht="57" customFormat="1" customHeight="1" s="36">
      <c r="A765" s="37">
        <f>A719&amp;"_"&amp;B765</f>
        <v/>
      </c>
      <c r="B765" s="42" t="n">
        <v>45</v>
      </c>
      <c r="C765" s="185" t="n"/>
      <c r="D765" s="185" t="n"/>
      <c r="E765" s="45" t="inlineStr">
        <is>
          <t>• Same social-cultural context (even if different personnel)
相同的社会文化背景（即便人员有所不同）</t>
        </is>
      </c>
      <c r="F765" s="53" t="inlineStr">
        <is>
          <t>not applicable</t>
        </is>
      </c>
      <c r="G765" s="55" t="n"/>
      <c r="H765" s="47" t="n"/>
      <c r="I765" s="47" t="n"/>
      <c r="J765" s="49" t="n"/>
      <c r="K765" s="49" t="n"/>
      <c r="L765" s="49" t="n"/>
      <c r="M765" s="49" t="n"/>
    </row>
    <row r="766" outlineLevel="1" ht="57.5" customFormat="1" customHeight="1" s="36">
      <c r="A766" s="37">
        <f>A719&amp;"_"&amp;B766</f>
        <v/>
      </c>
      <c r="B766" s="50" t="n">
        <v>46</v>
      </c>
      <c r="C766" s="185" t="n"/>
      <c r="D766" s="185" t="n"/>
      <c r="E766" s="45" t="inlineStr">
        <is>
          <t>• Development fault, e.g.
– human error
开发失误，例如：
– 人为错误</t>
        </is>
      </c>
      <c r="F766" s="53" t="inlineStr">
        <is>
          <t>not applicable</t>
        </is>
      </c>
      <c r="G766" s="55" t="n"/>
      <c r="H766" s="47" t="n"/>
      <c r="I766" s="47" t="n"/>
      <c r="J766" s="49" t="n"/>
      <c r="K766" s="49" t="n"/>
      <c r="L766" s="49" t="n"/>
      <c r="M766" s="49" t="n"/>
    </row>
    <row r="767" outlineLevel="1" ht="28.5" customFormat="1" customHeight="1" s="36">
      <c r="A767" s="37">
        <f>A719&amp;"_"&amp;B767</f>
        <v/>
      </c>
      <c r="B767" s="42" t="n">
        <v>47</v>
      </c>
      <c r="C767" s="185" t="n"/>
      <c r="D767" s="185" t="n"/>
      <c r="E767" s="45" t="inlineStr">
        <is>
          <t>– insufficiently qualified personnel
资质不足的人员</t>
        </is>
      </c>
      <c r="F767" s="53" t="inlineStr">
        <is>
          <t>not applicable</t>
        </is>
      </c>
      <c r="G767" s="55" t="n"/>
      <c r="H767" s="47" t="n"/>
      <c r="I767" s="47" t="n"/>
      <c r="J767" s="49" t="n"/>
      <c r="K767" s="49" t="n"/>
      <c r="L767" s="49" t="n"/>
      <c r="M767" s="49" t="n"/>
    </row>
    <row r="768" outlineLevel="1" ht="28.5" customFormat="1" customHeight="1" s="36">
      <c r="A768" s="37">
        <f>A719&amp;"_"&amp;B768</f>
        <v/>
      </c>
      <c r="B768" s="50" t="n">
        <v>48</v>
      </c>
      <c r="C768" s="185" t="n"/>
      <c r="D768" s="185" t="n"/>
      <c r="E768" s="45" t="inlineStr">
        <is>
          <t>– process weaknesses
处理弱点</t>
        </is>
      </c>
      <c r="F768" s="53" t="inlineStr">
        <is>
          <t>not applicable</t>
        </is>
      </c>
      <c r="G768" s="55" t="n"/>
      <c r="H768" s="47" t="n"/>
      <c r="I768" s="47" t="n"/>
      <c r="J768" s="49" t="n"/>
      <c r="K768" s="49" t="n"/>
      <c r="L768" s="49" t="n"/>
      <c r="M768" s="49" t="n"/>
    </row>
    <row r="769" outlineLevel="1" ht="26" customFormat="1" customHeight="1" s="36">
      <c r="A769" s="37">
        <f>A719&amp;"_"&amp;B769</f>
        <v/>
      </c>
      <c r="B769" s="42" t="n">
        <v>49</v>
      </c>
      <c r="C769" s="186" t="n"/>
      <c r="D769" s="186" t="n"/>
      <c r="E769" s="45" t="inlineStr">
        <is>
          <t>– insufficient methods方法不足</t>
        </is>
      </c>
      <c r="F769" s="53" t="inlineStr">
        <is>
          <t>not applicable</t>
        </is>
      </c>
      <c r="G769" s="55" t="n"/>
      <c r="H769" s="47" t="n"/>
      <c r="I769" s="47" t="n"/>
      <c r="J769" s="49" t="n"/>
      <c r="K769" s="49" t="n"/>
      <c r="L769" s="49" t="n"/>
      <c r="M769" s="49" t="n"/>
    </row>
    <row r="770" ht="75" customFormat="1" customHeight="1" s="36">
      <c r="A770" s="67">
        <f>'Top Event'!B19</f>
        <v/>
      </c>
      <c r="B770" s="67" t="n"/>
      <c r="C770" s="67">
        <f>'Top Event'!C19</f>
        <v/>
      </c>
      <c r="D770" s="69">
        <f>'Top Event'!D19</f>
        <v/>
      </c>
      <c r="E770" s="67">
        <f>'Top Event'!E19</f>
        <v/>
      </c>
      <c r="F770" s="66" t="n"/>
      <c r="G770" s="66" t="n"/>
      <c r="H770" s="64" t="n"/>
      <c r="I770" s="64" t="n"/>
      <c r="J770" s="36" t="n"/>
      <c r="K770" s="36" t="n"/>
      <c r="L770" s="36" t="n"/>
      <c r="M770" s="36" t="n"/>
    </row>
    <row r="771" ht="37.25" customFormat="1" customHeight="1" s="36">
      <c r="A771" s="37" t="n"/>
      <c r="B771" s="37" t="n"/>
      <c r="C771" s="38" t="inlineStr">
        <is>
          <t>DF-I Category</t>
        </is>
      </c>
      <c r="D771" s="38" t="inlineStr">
        <is>
          <t>Interpretation</t>
        </is>
      </c>
      <c r="E771" s="38" t="inlineStr">
        <is>
          <t>DF-Initiator Examples</t>
        </is>
      </c>
      <c r="F771" s="38" t="inlineStr">
        <is>
          <t>Applicable?</t>
        </is>
      </c>
      <c r="G771" s="38" t="inlineStr">
        <is>
          <t>safety  goal related</t>
        </is>
      </c>
      <c r="H771" s="39" t="inlineStr">
        <is>
          <t>Counter Measure</t>
        </is>
      </c>
      <c r="I771" s="39" t="inlineStr">
        <is>
          <t>Counter Measure ID</t>
        </is>
      </c>
      <c r="J771" s="38" t="inlineStr">
        <is>
          <t>Evidence</t>
        </is>
      </c>
      <c r="K771" s="38" t="inlineStr">
        <is>
          <t>sufficient?</t>
        </is>
      </c>
      <c r="L771" s="38" t="n"/>
      <c r="M771" s="41" t="inlineStr">
        <is>
          <t>Comment</t>
        </is>
      </c>
    </row>
    <row r="772" outlineLevel="1" ht="87" customFormat="1" customHeight="1" s="36">
      <c r="A772" s="37">
        <f>A770&amp;"_"&amp;B772</f>
        <v/>
      </c>
      <c r="B772" s="42" t="n">
        <v>1</v>
      </c>
      <c r="C772" s="183" t="inlineStr">
        <is>
          <t>Shared resource</t>
        </is>
      </c>
      <c r="D772" s="184" t="inlineStr">
        <is>
          <t>The same software, hardware, or system element instance used by the two elements which are therefore affected by the failure or unavailability of that shared resource, i.e. from a physical perspective.</t>
        </is>
      </c>
      <c r="E772" s="45" t="inlineStr">
        <is>
          <t>Software component used by more than one other software component, e.g.
– reused standard software modules
被多个其他软件组件所使用的软件组件，例如：
– 重复使用的标准软件模块</t>
        </is>
      </c>
      <c r="F772" s="45" t="inlineStr">
        <is>
          <t xml:space="preserve">Yes </t>
        </is>
      </c>
      <c r="G772" s="54" t="inlineStr">
        <is>
          <t>CAN BusOff故障处理模块失效后无法在Busoff的情况下传递故障情况给DEM模块进行记录和执行CAN故障恢复，导致CAN BusOff时无法及时恢复接收CAN帧指令，违背安全目标SG01,SG02,SG03</t>
        </is>
      </c>
      <c r="H772" s="47" t="inlineStr">
        <is>
          <t xml:space="preserve">1：支持硬线制动灯点亮：
</t>
        </is>
      </c>
      <c r="I772" s="47" t="inlineStr">
        <is>
          <t>SW_DFA_SM_001</t>
        </is>
      </c>
      <c r="J772" s="48" t="inlineStr">
        <is>
          <t>通过集成测试</t>
        </is>
      </c>
      <c r="K772" s="49" t="inlineStr">
        <is>
          <t>满足ASILB开发和测试</t>
        </is>
      </c>
      <c r="L772" s="49" t="n"/>
      <c r="M772" s="49" t="n"/>
    </row>
    <row r="773" outlineLevel="1" ht="28.5" customFormat="1" customHeight="1" s="36">
      <c r="A773" s="37">
        <f>A770&amp;"_"&amp;B773</f>
        <v/>
      </c>
      <c r="B773" s="50" t="n">
        <v>2</v>
      </c>
      <c r="C773" s="185" t="n"/>
      <c r="D773" s="185" t="n"/>
      <c r="E773" s="45" t="inlineStr">
        <is>
          <t>– libraries
库</t>
        </is>
      </c>
      <c r="F773" s="53" t="inlineStr">
        <is>
          <t>not applicable</t>
        </is>
      </c>
      <c r="G773" s="55" t="n"/>
      <c r="H773" s="47" t="n"/>
      <c r="I773" s="47" t="n"/>
      <c r="J773" s="49" t="n"/>
      <c r="K773" s="49" t="n"/>
      <c r="L773" s="49" t="n"/>
      <c r="M773" s="49" t="n"/>
    </row>
    <row r="774" outlineLevel="1" ht="28.5" customFormat="1" customHeight="1" s="36">
      <c r="A774" s="37">
        <f>A770&amp;"_"&amp;B774</f>
        <v/>
      </c>
      <c r="B774" s="42" t="n">
        <v>3</v>
      </c>
      <c r="C774" s="185" t="n"/>
      <c r="D774" s="185" t="n"/>
      <c r="E774" s="45" t="inlineStr">
        <is>
          <t>– middleware
中间件</t>
        </is>
      </c>
      <c r="F774" s="53" t="inlineStr">
        <is>
          <t>not applicable</t>
        </is>
      </c>
      <c r="G774" s="55" t="n"/>
      <c r="H774" s="47" t="n"/>
      <c r="I774" s="47" t="n"/>
      <c r="J774" s="49" t="n"/>
      <c r="K774" s="49" t="n"/>
      <c r="L774" s="49" t="n"/>
      <c r="M774" s="49" t="n"/>
    </row>
    <row r="775" outlineLevel="1" ht="28.5" customFormat="1" customHeight="1" s="36">
      <c r="A775" s="37">
        <f>A770&amp;"_"&amp;B775</f>
        <v/>
      </c>
      <c r="B775" s="50" t="n">
        <v>4</v>
      </c>
      <c r="C775" s="185" t="n"/>
      <c r="D775" s="185" t="n"/>
      <c r="E775" s="45" t="inlineStr">
        <is>
          <t>– basic software
基本软件</t>
        </is>
      </c>
      <c r="F775" s="53" t="inlineStr">
        <is>
          <t>not applicable</t>
        </is>
      </c>
      <c r="G775" s="46" t="n"/>
      <c r="H775" s="47" t="n"/>
      <c r="I775" s="47" t="n"/>
      <c r="J775" s="48" t="n"/>
      <c r="K775" s="49" t="n"/>
      <c r="L775" s="49" t="n"/>
      <c r="M775" s="49" t="n"/>
    </row>
    <row r="776" outlineLevel="1" ht="43.5" customFormat="1" customHeight="1" s="36">
      <c r="A776" s="37">
        <f>A770&amp;"_"&amp;B776</f>
        <v/>
      </c>
      <c r="B776" s="42" t="n">
        <v>5</v>
      </c>
      <c r="C776" s="185" t="n"/>
      <c r="D776" s="185" t="n"/>
      <c r="E776" s="45" t="inlineStr">
        <is>
          <t xml:space="preserve">– operating system including scheduler
——包含调度器的操作系统
</t>
        </is>
      </c>
      <c r="F776" s="53" t="inlineStr">
        <is>
          <t>not applicable</t>
        </is>
      </c>
      <c r="G776" s="55" t="n"/>
      <c r="H776" s="47" t="n"/>
      <c r="I776" s="47" t="n"/>
      <c r="J776" s="49" t="n"/>
      <c r="K776" s="49" t="n"/>
      <c r="L776" s="49" t="n"/>
      <c r="M776" s="49" t="n"/>
    </row>
    <row r="777" outlineLevel="1" ht="28.5" customFormat="1" customHeight="1" s="36">
      <c r="A777" s="37">
        <f>A770&amp;"_"&amp;B777</f>
        <v/>
      </c>
      <c r="B777" s="50" t="n">
        <v>6</v>
      </c>
      <c r="C777" s="185" t="n"/>
      <c r="D777" s="185" t="n"/>
      <c r="E777" s="45" t="inlineStr">
        <is>
          <t>– communication stack
通信协议栈</t>
        </is>
      </c>
      <c r="F777" s="53" t="inlineStr">
        <is>
          <t>not applicable</t>
        </is>
      </c>
      <c r="G777" s="46" t="n"/>
      <c r="H777" s="47" t="n"/>
      <c r="I777" s="47" t="n"/>
      <c r="J777" s="48" t="n"/>
      <c r="K777" s="49" t="n"/>
      <c r="L777" s="49" t="n"/>
      <c r="M777" s="49" t="n"/>
    </row>
    <row r="778" outlineLevel="1" ht="29" customFormat="1" customHeight="1" s="36">
      <c r="A778" s="37">
        <f>A770&amp;"_"&amp;B778</f>
        <v/>
      </c>
      <c r="B778" s="42" t="n">
        <v>7</v>
      </c>
      <c r="C778" s="185" t="n"/>
      <c r="D778" s="185" t="n"/>
      <c r="E778" s="45" t="inlineStr">
        <is>
          <t xml:space="preserve">– parameter file参数文件
</t>
        </is>
      </c>
      <c r="F778" s="53" t="inlineStr">
        <is>
          <t>not applicable</t>
        </is>
      </c>
      <c r="G778" s="55" t="n"/>
      <c r="H778" s="47" t="n"/>
      <c r="I778" s="47" t="n"/>
      <c r="J778" s="49" t="n"/>
      <c r="K778" s="49" t="n"/>
      <c r="L778" s="49" t="n"/>
      <c r="M778" s="49" t="n"/>
    </row>
    <row r="779" outlineLevel="1" ht="28.5" customFormat="1" customHeight="1" s="36">
      <c r="A779" s="37">
        <f>A770&amp;"_"&amp;B779</f>
        <v/>
      </c>
      <c r="B779" s="50" t="n">
        <v>8</v>
      </c>
      <c r="C779" s="185" t="n"/>
      <c r="D779" s="185" t="n"/>
      <c r="E779" s="45" t="inlineStr">
        <is>
          <t>– execution time
执行时间</t>
        </is>
      </c>
      <c r="F779" s="53" t="inlineStr">
        <is>
          <t>not applicable</t>
        </is>
      </c>
      <c r="G779" s="55" t="n"/>
      <c r="H779" s="47" t="n"/>
      <c r="I779" s="47" t="n"/>
      <c r="J779" s="49" t="n"/>
      <c r="K779" s="49" t="n"/>
      <c r="L779" s="49" t="n"/>
      <c r="M779" s="49" t="n"/>
    </row>
    <row r="780" outlineLevel="1" ht="26" customFormat="1" customHeight="1" s="36">
      <c r="A780" s="37">
        <f>A770&amp;"_"&amp;B780</f>
        <v/>
      </c>
      <c r="B780" s="42" t="n">
        <v>9</v>
      </c>
      <c r="C780" s="186" t="n"/>
      <c r="D780" s="186" t="n"/>
      <c r="E780" s="45" t="inlineStr">
        <is>
          <t>– allocated memory</t>
        </is>
      </c>
      <c r="F780" s="53" t="inlineStr">
        <is>
          <t>not applicable</t>
        </is>
      </c>
      <c r="G780" s="55" t="n"/>
      <c r="H780" s="47" t="n"/>
      <c r="I780" s="47" t="n"/>
      <c r="J780" s="49" t="n"/>
      <c r="K780" s="49" t="n"/>
      <c r="L780" s="49" t="n"/>
      <c r="M780" s="49" t="n"/>
    </row>
    <row r="781" outlineLevel="1" ht="28.5" customFormat="1" customHeight="1" s="36">
      <c r="A781" s="37">
        <f>A770&amp;"_"&amp;B781</f>
        <v/>
      </c>
      <c r="B781" s="50" t="n">
        <v>10</v>
      </c>
      <c r="C781" s="187" t="inlineStr">
        <is>
          <t>Components of
identical type</t>
        </is>
      </c>
      <c r="D781" s="187" t="inlineStr">
        <is>
          <t>Identical components may fail with higher probability simultaneously (common mode failures)</t>
        </is>
      </c>
      <c r="E781" s="45" t="inlineStr">
        <is>
          <t>• Reused standard software modules
重复使用的标准软件模块</t>
        </is>
      </c>
      <c r="F781" s="53" t="inlineStr">
        <is>
          <t>not applicable</t>
        </is>
      </c>
      <c r="G781" s="46" t="n"/>
      <c r="H781" s="47" t="n"/>
      <c r="I781" s="47" t="n"/>
      <c r="J781" s="48" t="n"/>
      <c r="K781" s="49" t="n"/>
      <c r="L781" s="49" t="n"/>
      <c r="M781" s="49" t="n"/>
    </row>
    <row r="782" outlineLevel="1" ht="28.5" customFormat="1" customHeight="1" s="36">
      <c r="A782" s="37">
        <f>A770&amp;"_"&amp;B782</f>
        <v/>
      </c>
      <c r="B782" s="42" t="n">
        <v>11</v>
      </c>
      <c r="C782" s="185" t="n"/>
      <c r="D782" s="185" t="n"/>
      <c r="E782" s="45" t="inlineStr">
        <is>
          <t>• Standard library components
标准库组件</t>
        </is>
      </c>
      <c r="F782" s="53" t="inlineStr">
        <is>
          <t>not applicable</t>
        </is>
      </c>
      <c r="G782" s="46" t="n"/>
      <c r="H782" s="47" t="n"/>
      <c r="I782" s="47" t="n"/>
      <c r="J782" s="48" t="n"/>
      <c r="K782" s="49" t="n"/>
      <c r="L782" s="49" t="n"/>
      <c r="M782" s="49" t="n"/>
    </row>
    <row r="783" outlineLevel="1" ht="28.5" customFormat="1" customHeight="1" s="36">
      <c r="A783" s="37">
        <f>A770&amp;"_"&amp;B783</f>
        <v/>
      </c>
      <c r="B783" s="50" t="n">
        <v>12</v>
      </c>
      <c r="C783" s="185" t="n"/>
      <c r="D783" s="185" t="n"/>
      <c r="E783" s="45" t="inlineStr">
        <is>
          <t>• Middleware
中间件</t>
        </is>
      </c>
      <c r="F783" s="53" t="inlineStr">
        <is>
          <t>not applicable</t>
        </is>
      </c>
      <c r="G783" s="55" t="n"/>
      <c r="H783" s="47" t="n"/>
      <c r="I783" s="47" t="n"/>
      <c r="J783" s="49" t="n"/>
      <c r="K783" s="49" t="n"/>
      <c r="L783" s="49" t="n"/>
      <c r="M783" s="49" t="n"/>
    </row>
    <row r="784" outlineLevel="1" ht="28.5" customFormat="1" customHeight="1" s="36">
      <c r="A784" s="37">
        <f>A770&amp;"_"&amp;B784</f>
        <v/>
      </c>
      <c r="B784" s="42" t="n">
        <v>13</v>
      </c>
      <c r="C784" s="185" t="n"/>
      <c r="D784" s="185" t="n"/>
      <c r="E784" s="45" t="inlineStr">
        <is>
          <t>• Operating system
操作系统</t>
        </is>
      </c>
      <c r="F784" s="53" t="inlineStr">
        <is>
          <t>not applicable</t>
        </is>
      </c>
      <c r="G784" s="55" t="n"/>
      <c r="H784" s="47" t="n"/>
      <c r="I784" s="47" t="n"/>
      <c r="J784" s="49" t="n"/>
      <c r="K784" s="49" t="n"/>
      <c r="L784" s="49" t="n"/>
      <c r="M784" s="49" t="n"/>
    </row>
    <row r="785" outlineLevel="1" ht="28.5" customFormat="1" customHeight="1" s="36">
      <c r="A785" s="37">
        <f>A770&amp;"_"&amp;B785</f>
        <v/>
      </c>
      <c r="B785" s="50" t="n">
        <v>14</v>
      </c>
      <c r="C785" s="185" t="n"/>
      <c r="D785" s="185" t="n"/>
      <c r="E785" s="45" t="inlineStr">
        <is>
          <t>• Communication stack
通信栈</t>
        </is>
      </c>
      <c r="F785" s="53" t="inlineStr">
        <is>
          <t>not applicable</t>
        </is>
      </c>
      <c r="G785" s="55" t="n"/>
      <c r="H785" s="47" t="n"/>
      <c r="I785" s="47" t="n"/>
      <c r="J785" s="49" t="n"/>
      <c r="K785" s="49" t="n"/>
      <c r="L785" s="49" t="n"/>
      <c r="M785" s="49" t="n"/>
    </row>
    <row r="786" outlineLevel="1" ht="58" customFormat="1" customHeight="1" s="36">
      <c r="A786" s="37">
        <f>A770&amp;"_"&amp;B786</f>
        <v/>
      </c>
      <c r="B786" s="42" t="n">
        <v>15</v>
      </c>
      <c r="C786" s="186" t="n"/>
      <c r="D786" s="186" t="n"/>
      <c r="E786" s="45" t="inlineStr">
        <is>
          <t xml:space="preserve">
• Parameter set
参数设置
</t>
        </is>
      </c>
      <c r="F786" s="53" t="inlineStr">
        <is>
          <t>not applicable</t>
        </is>
      </c>
      <c r="G786" s="55" t="n"/>
      <c r="H786" s="47" t="n"/>
      <c r="I786" s="47" t="n"/>
      <c r="J786" s="49" t="n"/>
      <c r="K786" s="49" t="n"/>
      <c r="L786" s="49" t="n"/>
      <c r="M786" s="49" t="n"/>
    </row>
    <row r="787" outlineLevel="1" ht="100.5" customFormat="1" customHeight="1" s="36">
      <c r="A787" s="37">
        <f>A770&amp;"_"&amp;B787</f>
        <v/>
      </c>
      <c r="B787" s="50" t="n">
        <v>16</v>
      </c>
      <c r="C787" s="187" t="inlineStr">
        <is>
          <t>Communication
between the two
functions</t>
        </is>
      </c>
      <c r="D787" s="184" t="inlineStr">
        <is>
          <t>Receiving function is affected by information that is false, lost, sent multiple times, or in the wrong order etc. from the sender</t>
        </is>
      </c>
      <c r="E787"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787" s="45" t="inlineStr">
        <is>
          <t xml:space="preserve">Yes </t>
        </is>
      </c>
      <c r="G787" s="54" t="inlineStr">
        <is>
          <t>CAN BusOff故障处理模块失效后无法在Busoff的情况下传递故障情况给DEM模块进行记录和执行CAN故障恢复，导致CAN BusOff时无法及时恢复接收CAN帧指令，违背安全目标SG01,SG02,SG03</t>
        </is>
      </c>
      <c r="H787" s="47" t="inlineStr">
        <is>
          <t xml:space="preserve">1：支持硬线制动灯点亮：
</t>
        </is>
      </c>
      <c r="I787" s="47" t="inlineStr">
        <is>
          <t>SW_DFA_SM_001</t>
        </is>
      </c>
      <c r="J787" s="48" t="inlineStr">
        <is>
          <t>通过集成测试</t>
        </is>
      </c>
      <c r="K787" s="49" t="inlineStr">
        <is>
          <t>满足ASILB开发和测试</t>
        </is>
      </c>
      <c r="L787" s="49" t="n"/>
      <c r="M787" s="49" t="n"/>
    </row>
    <row r="788" outlineLevel="1" ht="72.5" customFormat="1" customHeight="1" s="36">
      <c r="A788" s="37">
        <f>A770&amp;"_"&amp;B788</f>
        <v/>
      </c>
      <c r="B788" s="42" t="n">
        <v>17</v>
      </c>
      <c r="C788" s="185" t="n"/>
      <c r="D788" s="185" t="n"/>
      <c r="E788" s="45" t="inlineStr">
        <is>
          <t>• Data or message corruption/ repetition*/ loss*/ delay*/ masquerading or incorrect addressing of information*
数据或信息的损坏/重复/丢失/延迟/伪装或信息的错误标识*</t>
        </is>
      </c>
      <c r="F788" s="53" t="inlineStr">
        <is>
          <t>not applicable</t>
        </is>
      </c>
      <c r="G788" s="55" t="n"/>
      <c r="H788" s="47" t="n"/>
      <c r="I788" s="47" t="n"/>
      <c r="J788" s="49" t="n"/>
      <c r="K788" s="49" t="n"/>
      <c r="L788" s="49" t="n"/>
      <c r="M788" s="49" t="n"/>
    </row>
    <row r="789" outlineLevel="1" ht="49" customFormat="1" customHeight="1" s="36">
      <c r="A789" s="37">
        <f>A770&amp;"_"&amp;B789</f>
        <v/>
      </c>
      <c r="B789" s="50" t="n">
        <v>18</v>
      </c>
      <c r="C789" s="185" t="n"/>
      <c r="D789" s="185" t="n"/>
      <c r="E789" s="45" t="inlineStr">
        <is>
          <t>• Insertion*/ sequence of information*
插入* / 信息序列*</t>
        </is>
      </c>
      <c r="F789" s="53" t="inlineStr">
        <is>
          <t>not applicable</t>
        </is>
      </c>
      <c r="G789" s="55" t="n"/>
      <c r="H789" s="47" t="n"/>
      <c r="I789" s="47" t="n"/>
      <c r="J789" s="49" t="n"/>
      <c r="K789" s="49" t="n"/>
      <c r="L789" s="49" t="n"/>
      <c r="M789" s="49" t="n"/>
    </row>
    <row r="790" outlineLevel="1" ht="48" customFormat="1" customHeight="1" s="36">
      <c r="A790" s="37">
        <f>A770&amp;"_"&amp;B790</f>
        <v/>
      </c>
      <c r="B790" s="42" t="n">
        <v>19</v>
      </c>
      <c r="C790" s="185" t="n"/>
      <c r="D790" s="185" t="n"/>
      <c r="E790" s="45" t="inlineStr">
        <is>
          <t>• Corruption of information*
信息的失真*</t>
        </is>
      </c>
      <c r="F790" s="53" t="inlineStr">
        <is>
          <t>not applicable</t>
        </is>
      </c>
      <c r="G790" s="55" t="n"/>
      <c r="H790" s="47" t="n"/>
      <c r="I790" s="47" t="n"/>
      <c r="J790" s="49" t="n"/>
      <c r="K790" s="49" t="n"/>
      <c r="L790" s="49" t="n"/>
      <c r="M790" s="49" t="n"/>
    </row>
    <row r="791" outlineLevel="1" ht="48" customFormat="1" customHeight="1" s="36">
      <c r="A791" s="37">
        <f>A770&amp;"_"&amp;B791</f>
        <v/>
      </c>
      <c r="B791" s="50" t="n">
        <v>20</v>
      </c>
      <c r="C791" s="185" t="n"/>
      <c r="D791" s="185" t="n"/>
      <c r="E791" s="45" t="inlineStr">
        <is>
          <t>• Asymmetric information sent from a sender to multiple receivers*
从发送者传向多个接收者的不对称信息*</t>
        </is>
      </c>
      <c r="F791" s="53" t="inlineStr">
        <is>
          <t>not applicable</t>
        </is>
      </c>
      <c r="G791" s="55" t="n"/>
      <c r="H791" s="47" t="n"/>
      <c r="I791" s="47" t="n"/>
      <c r="J791" s="49" t="n"/>
      <c r="K791" s="49" t="n"/>
      <c r="L791" s="49" t="n"/>
      <c r="M791" s="49" t="n"/>
    </row>
    <row r="792" outlineLevel="1" ht="48" customFormat="1" customHeight="1" s="36">
      <c r="A792" s="37">
        <f>A770&amp;"_"&amp;B792</f>
        <v/>
      </c>
      <c r="B792" s="42" t="n">
        <v>21</v>
      </c>
      <c r="C792" s="185" t="n"/>
      <c r="D792" s="185" t="n"/>
      <c r="E792" s="45" t="inlineStr">
        <is>
          <t>• Information from a sender received by only a subset of the receivers*
仅部分接收者接收到的来自发送者的信息*</t>
        </is>
      </c>
      <c r="F792" s="53" t="inlineStr">
        <is>
          <t>not applicable</t>
        </is>
      </c>
      <c r="G792" s="55" t="n"/>
      <c r="H792" s="47" t="n"/>
      <c r="I792" s="47" t="n"/>
      <c r="J792" s="49" t="n"/>
      <c r="K792" s="49" t="n"/>
      <c r="L792" s="49" t="n"/>
      <c r="M792" s="49" t="n"/>
    </row>
    <row r="793" outlineLevel="1" ht="43.5" customFormat="1" customHeight="1" s="36">
      <c r="A793" s="37">
        <f>A770&amp;"_"&amp;B793</f>
        <v/>
      </c>
      <c r="B793" s="50" t="n">
        <v>22</v>
      </c>
      <c r="C793" s="186" t="n"/>
      <c r="D793" s="186" t="n"/>
      <c r="E793" s="45" t="inlineStr">
        <is>
          <t>• Blocking access to a communication channel*
阻止对通信通道的访问*</t>
        </is>
      </c>
      <c r="F793" s="53" t="inlineStr">
        <is>
          <t>not applicable</t>
        </is>
      </c>
      <c r="G793" s="46" t="n"/>
      <c r="H793" s="47" t="n"/>
      <c r="I793" s="47" t="n"/>
      <c r="J793" s="48" t="n"/>
      <c r="K793" s="49" t="n"/>
      <c r="L793" s="49" t="n"/>
      <c r="M793" s="49" t="n"/>
    </row>
    <row r="794" outlineLevel="1" ht="45" customFormat="1" customHeight="1" s="36">
      <c r="A794" s="37">
        <f>A770&amp;"_"&amp;B794</f>
        <v/>
      </c>
      <c r="B794" s="42" t="n">
        <v>23</v>
      </c>
      <c r="C794" s="187" t="inlineStr">
        <is>
          <t>Shared information
inputs</t>
        </is>
      </c>
      <c r="D794" s="187" t="inlineStr">
        <is>
          <t>Same information consumed by the two functions even in absence of shared resources, i.e. from a functional perspective</t>
        </is>
      </c>
      <c r="E794" s="45" t="inlineStr">
        <is>
          <t>• Calibration parameters
标准参数</t>
        </is>
      </c>
      <c r="F794" s="53" t="inlineStr">
        <is>
          <t>not applicable</t>
        </is>
      </c>
      <c r="G794" s="55" t="n"/>
      <c r="H794" s="47" t="n"/>
      <c r="I794" s="47" t="n"/>
      <c r="J794" s="49" t="n"/>
      <c r="K794" s="49" t="n"/>
      <c r="L794" s="49" t="n"/>
      <c r="M794" s="49" t="n"/>
    </row>
    <row r="795" outlineLevel="1" ht="57" customFormat="1" customHeight="1" s="36">
      <c r="A795" s="37">
        <f>A770&amp;"_"&amp;B795</f>
        <v/>
      </c>
      <c r="B795" s="50" t="n">
        <v>24</v>
      </c>
      <c r="C795" s="185" t="n"/>
      <c r="D795" s="185" t="n"/>
      <c r="E795" s="45" t="inlineStr">
        <is>
          <t>• Constants, or variables, being global to the two software functions
常量或变量对于这两个软件功能而言是全局性的。</t>
        </is>
      </c>
      <c r="F795" s="53" t="inlineStr">
        <is>
          <t>not applicable</t>
        </is>
      </c>
      <c r="G795" s="46" t="n"/>
      <c r="H795" s="47" t="n"/>
      <c r="I795" s="47" t="n"/>
      <c r="J795" s="48" t="n"/>
      <c r="K795" s="49" t="n"/>
      <c r="L795" s="49" t="n"/>
      <c r="M795" s="49" t="n"/>
    </row>
    <row r="796" outlineLevel="1" ht="100" customFormat="1" customHeight="1" s="36">
      <c r="A796" s="37">
        <f>A770&amp;"_"&amp;B796</f>
        <v/>
      </c>
      <c r="B796" s="42" t="n">
        <v>25</v>
      </c>
      <c r="C796" s="185" t="n"/>
      <c r="D796" s="185" t="n"/>
      <c r="E796" s="45" t="inlineStr">
        <is>
          <t>• Basic software passes data (read from hardware register and converted into logical information) to two application software functions
基础软件会将数据（从硬件寄存器读取并转换为逻辑信息）传递给两个应用程序软件功能。</t>
        </is>
      </c>
      <c r="F796" s="53" t="inlineStr">
        <is>
          <t>not applicable</t>
        </is>
      </c>
      <c r="G796" s="55" t="n"/>
      <c r="H796" s="47" t="n"/>
      <c r="I796" s="47" t="n"/>
      <c r="J796" s="49" t="n"/>
      <c r="K796" s="49" t="n"/>
      <c r="L796" s="49" t="n"/>
      <c r="M796" s="49" t="n"/>
    </row>
    <row r="797" outlineLevel="1" ht="115.5" customFormat="1" customHeight="1" s="36">
      <c r="A797" s="37">
        <f>A770&amp;"_"&amp;B797</f>
        <v/>
      </c>
      <c r="B797" s="50" t="n">
        <v>26</v>
      </c>
      <c r="C797" s="186" t="n"/>
      <c r="D797" s="186" t="n"/>
      <c r="E797"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797" s="53" t="inlineStr">
        <is>
          <t>not applicable</t>
        </is>
      </c>
      <c r="G797" s="55" t="n"/>
      <c r="H797" s="47" t="n"/>
      <c r="I797" s="47" t="n"/>
      <c r="J797" s="49" t="n"/>
      <c r="K797" s="49" t="n"/>
      <c r="L797" s="49" t="n"/>
      <c r="M797" s="49" t="n"/>
    </row>
    <row r="798" outlineLevel="1" ht="68.5" customFormat="1" customHeight="1" s="36">
      <c r="A798" s="37">
        <f>A770&amp;"_"&amp;B798</f>
        <v/>
      </c>
      <c r="B798" s="42" t="n">
        <v>27</v>
      </c>
      <c r="C798" s="187" t="inlineStr">
        <is>
          <t>Environmental
influences</t>
        </is>
      </c>
      <c r="D798" s="184" t="inlineStr">
        <is>
          <t>Common external environmental disturbance affects both functions</t>
        </is>
      </c>
      <c r="E798" s="45" t="inlineStr">
        <is>
          <t xml:space="preserve">System-level: mechanical shock, water ingress
 系统层面：机械震动、进水                                                                                                                                                                </t>
        </is>
      </c>
      <c r="F798" s="53" t="inlineStr">
        <is>
          <t>not applicable</t>
        </is>
      </c>
      <c r="G798" s="55" t="n"/>
      <c r="H798" s="47" t="n"/>
      <c r="I798" s="47" t="n"/>
      <c r="J798" s="49" t="n"/>
      <c r="K798" s="49" t="n"/>
      <c r="L798" s="49" t="n"/>
      <c r="M798" s="49" t="n"/>
    </row>
    <row r="799" outlineLevel="1" ht="28.5" customFormat="1" customHeight="1" s="36">
      <c r="A799" s="37">
        <f>A770&amp;"_"&amp;B799</f>
        <v/>
      </c>
      <c r="B799" s="50" t="n">
        <v>28</v>
      </c>
      <c r="C799" s="185" t="n"/>
      <c r="D799" s="185" t="n"/>
      <c r="E799" s="45" t="inlineStr">
        <is>
          <t>Software-level: not applicable for Software
软件层面：不适用于软件</t>
        </is>
      </c>
      <c r="F799" s="53" t="inlineStr">
        <is>
          <t>not applicable</t>
        </is>
      </c>
      <c r="G799" s="55" t="n"/>
      <c r="H799" s="47" t="n"/>
      <c r="I799" s="47" t="n"/>
      <c r="J799" s="49" t="n"/>
      <c r="K799" s="49" t="n"/>
      <c r="L799" s="49" t="n"/>
      <c r="M799" s="49" t="n"/>
    </row>
    <row r="800" outlineLevel="1" ht="43" customFormat="1" customHeight="1" s="36">
      <c r="A800" s="37">
        <f>A770&amp;"_"&amp;B800</f>
        <v/>
      </c>
      <c r="B800" s="42" t="n">
        <v>29</v>
      </c>
      <c r="C800" s="186" t="n"/>
      <c r="D800" s="186" t="n"/>
      <c r="E800" s="45" t="inlineStr">
        <is>
          <t>Hardware-level: under and over voltage of the power supply        
硬件层面：电源的欠压和过压情况</t>
        </is>
      </c>
      <c r="F800" s="53" t="inlineStr">
        <is>
          <t>not applicable</t>
        </is>
      </c>
      <c r="G800" s="55" t="n"/>
      <c r="H800" s="47" t="n"/>
      <c r="I800" s="47" t="n"/>
      <c r="J800" s="49" t="n"/>
      <c r="K800" s="49" t="n"/>
      <c r="L800" s="49" t="n"/>
      <c r="M800" s="49" t="n"/>
    </row>
    <row r="801" outlineLevel="1" ht="87" customFormat="1" customHeight="1" s="36">
      <c r="A801" s="37">
        <f>A770&amp;"_"&amp;B801</f>
        <v/>
      </c>
      <c r="B801" s="50" t="n">
        <v>30</v>
      </c>
      <c r="C801" s="187" t="inlineStr">
        <is>
          <t>Unintended impact</t>
        </is>
      </c>
      <c r="D801" s="187" t="inlineStr">
        <is>
          <t>Two functions affecting each other’s elements directly via an implicit, that is unintended interface.</t>
        </is>
      </c>
      <c r="E801" s="45" t="inlineStr">
        <is>
          <t>• Memory / corruption of content*
– “wild pointers“ (including program counter stack)
内存/内容损坏*
——“失控指针”（包括程序计数器栈</t>
        </is>
      </c>
      <c r="F801" s="45" t="inlineStr">
        <is>
          <t xml:space="preserve">Yes </t>
        </is>
      </c>
      <c r="G801" s="54" t="inlineStr">
        <is>
          <t>CAN BusOff故障处理模块失效后无法在Busoff的情况下传递故障情况给DEM模块进行记录和执行CAN故障恢复，导致CAN BusOff时无法及时恢复接收CAN帧指令，违背安全目标SG01,SG02,SG03</t>
        </is>
      </c>
      <c r="H801" s="47" t="inlineStr">
        <is>
          <t>1：支持硬线制动灯点亮：
2：支持外部看门狗</t>
        </is>
      </c>
      <c r="I801" s="47" t="inlineStr">
        <is>
          <t>SW_DFA_SM_001 
SW_DFA_SM_004</t>
        </is>
      </c>
      <c r="J801" s="48" t="inlineStr">
        <is>
          <t>通过集成测试</t>
        </is>
      </c>
      <c r="K801" s="49" t="inlineStr">
        <is>
          <t>满足ASILB开发和测试</t>
        </is>
      </c>
      <c r="L801" s="49" t="n"/>
      <c r="M801" s="49" t="n"/>
    </row>
    <row r="802" outlineLevel="1" ht="87" customFormat="1" customHeight="1" s="36">
      <c r="A802" s="37">
        <f>A770&amp;"_"&amp;B802</f>
        <v/>
      </c>
      <c r="B802" s="42" t="n">
        <v>31</v>
      </c>
      <c r="C802" s="185" t="n"/>
      <c r="D802" s="185" t="n"/>
      <c r="E802" s="45" t="inlineStr">
        <is>
          <t>– memory mis-allocation
——内存分配错误</t>
        </is>
      </c>
      <c r="F802" s="45" t="inlineStr">
        <is>
          <t xml:space="preserve">Yes </t>
        </is>
      </c>
      <c r="G802" s="54" t="inlineStr">
        <is>
          <t>CAN BusOff故障处理模块失效后无法在Busoff的情况下传递故障情况给DEM模块进行记录和执行CAN故障恢复，导致CAN BusOff时无法及时恢复接收CAN帧指令，违背安全目标SG01,SG02,SG03</t>
        </is>
      </c>
      <c r="H802" s="47" t="inlineStr">
        <is>
          <t>1：支持硬线制动灯点亮：
2：支持外部看门狗</t>
        </is>
      </c>
      <c r="I802" s="47" t="inlineStr">
        <is>
          <t>SW_DFA_SM_001 
SW_DFA_SM_004</t>
        </is>
      </c>
      <c r="J802" s="48" t="inlineStr">
        <is>
          <t>通过集成测试</t>
        </is>
      </c>
      <c r="K802" s="49" t="inlineStr">
        <is>
          <t>满足ASILB开发和测试</t>
        </is>
      </c>
      <c r="L802" s="49" t="n"/>
      <c r="M802" s="49" t="n"/>
    </row>
    <row r="803" outlineLevel="1" ht="87" customFormat="1" customHeight="1" s="36">
      <c r="A803" s="37">
        <f>A770&amp;"_"&amp;B803</f>
        <v/>
      </c>
      <c r="B803" s="50" t="n">
        <v>32</v>
      </c>
      <c r="C803" s="185" t="n"/>
      <c r="D803" s="185" t="n"/>
      <c r="E803" s="45" t="inlineStr">
        <is>
          <t>– memory leaks
内存泄漏</t>
        </is>
      </c>
      <c r="F803" s="45" t="inlineStr">
        <is>
          <t xml:space="preserve">Yes </t>
        </is>
      </c>
      <c r="G803" s="54" t="inlineStr">
        <is>
          <t>CAN BusOff故障处理模块失效后无法在Busoff的情况下传递故障情况给DEM模块进行记录和执行CAN故障恢复，导致CAN BusOff时无法及时恢复接收CAN帧指令，违背安全目标SG01,SG02,SG03</t>
        </is>
      </c>
      <c r="H803" s="47" t="inlineStr">
        <is>
          <t>1：支持硬线制动灯点亮：
2：支持外部看门狗</t>
        </is>
      </c>
      <c r="I803" s="47" t="inlineStr">
        <is>
          <t>SW_DFA_SM_001 
SW_DFA_SM_004</t>
        </is>
      </c>
      <c r="J803" s="48" t="inlineStr">
        <is>
          <t>通过集成测试</t>
        </is>
      </c>
      <c r="K803" s="49" t="inlineStr">
        <is>
          <t>满足ASILB开发和测试</t>
        </is>
      </c>
      <c r="L803" s="49" t="n"/>
      <c r="M803" s="49" t="n"/>
    </row>
    <row r="804" outlineLevel="1" ht="58" customFormat="1" customHeight="1" s="36">
      <c r="A804" s="37">
        <f>A770&amp;"_"&amp;B804</f>
        <v/>
      </c>
      <c r="B804" s="42" t="n">
        <v>33</v>
      </c>
      <c r="C804" s="185" t="n"/>
      <c r="D804" s="185" t="n"/>
      <c r="E804" s="45" t="inlineStr">
        <is>
          <t>– read/write access to memory allocated to another software element*
—— 对分配给其他软件组件的内存的读/写访问权限*</t>
        </is>
      </c>
      <c r="F804" s="53" t="inlineStr">
        <is>
          <t>not applicable</t>
        </is>
      </c>
      <c r="G804" s="55" t="n"/>
      <c r="H804" s="47" t="n"/>
      <c r="I804" s="47" t="n"/>
      <c r="J804" s="49" t="n"/>
      <c r="K804" s="49" t="n"/>
      <c r="L804" s="49" t="n"/>
      <c r="M804" s="49" t="n"/>
    </row>
    <row r="805" outlineLevel="1" ht="29" customFormat="1" customHeight="1" s="36">
      <c r="A805" s="37">
        <f>A770&amp;"_"&amp;B805</f>
        <v/>
      </c>
      <c r="B805" s="50" t="n">
        <v>34</v>
      </c>
      <c r="C805" s="185" t="n"/>
      <c r="D805" s="185" t="n"/>
      <c r="E805" s="45" t="inlineStr">
        <is>
          <t>– buffer under-/overflow
– 缓冲区下溢/上溢</t>
        </is>
      </c>
      <c r="F805" s="53" t="inlineStr">
        <is>
          <t>not applicable</t>
        </is>
      </c>
      <c r="G805" s="55" t="n"/>
      <c r="H805" s="47" t="n"/>
      <c r="I805" s="47" t="n"/>
      <c r="J805" s="49" t="n"/>
      <c r="K805" s="49" t="n"/>
      <c r="L805" s="49" t="n"/>
      <c r="M805" s="49" t="n"/>
    </row>
    <row r="806" outlineLevel="1" ht="57.5" customFormat="1" customHeight="1" s="36">
      <c r="A806" s="37">
        <f>A770&amp;"_"&amp;B806</f>
        <v/>
      </c>
      <c r="B806" s="42" t="n">
        <v>35</v>
      </c>
      <c r="C806" s="185" t="n"/>
      <c r="D806" s="185" t="n"/>
      <c r="E806" s="45" t="inlineStr">
        <is>
          <t>• Timing and execution
– deadlocks*
时机与执行
——死锁*</t>
        </is>
      </c>
      <c r="F806" s="53" t="inlineStr">
        <is>
          <t>not applicable</t>
        </is>
      </c>
      <c r="G806" s="55" t="n"/>
      <c r="H806" s="47" t="n"/>
      <c r="I806" s="47" t="n"/>
      <c r="J806" s="49" t="n"/>
      <c r="K806" s="49" t="n"/>
      <c r="L806" s="49" t="n"/>
      <c r="M806" s="49" t="n"/>
    </row>
    <row r="807" outlineLevel="1" ht="28.5" customFormat="1" customHeight="1" s="36">
      <c r="A807" s="37">
        <f>A770&amp;"_"&amp;B807</f>
        <v/>
      </c>
      <c r="B807" s="50" t="n">
        <v>36</v>
      </c>
      <c r="C807" s="185" t="n"/>
      <c r="D807" s="185" t="n"/>
      <c r="E807" s="45" t="inlineStr">
        <is>
          <t>– livelocks*
活锁</t>
        </is>
      </c>
      <c r="F807" s="53" t="inlineStr">
        <is>
          <t>not applicable</t>
        </is>
      </c>
      <c r="G807" s="55" t="n"/>
      <c r="H807" s="47" t="n"/>
      <c r="I807" s="47" t="n"/>
      <c r="J807" s="49" t="n"/>
      <c r="K807" s="49" t="n"/>
      <c r="L807" s="49" t="n"/>
      <c r="M807" s="49" t="n"/>
    </row>
    <row r="808" outlineLevel="1" ht="29" customFormat="1" customHeight="1" s="36">
      <c r="A808" s="37">
        <f>A770&amp;"_"&amp;B808</f>
        <v/>
      </c>
      <c r="B808" s="42" t="n">
        <v>37</v>
      </c>
      <c r="C808" s="185" t="n"/>
      <c r="D808" s="185" t="n"/>
      <c r="E808" s="45" t="inlineStr">
        <is>
          <t>– incorrect allocation of execution time*
——执行时间分配不当*</t>
        </is>
      </c>
      <c r="F808" s="53" t="inlineStr">
        <is>
          <t>not applicable</t>
        </is>
      </c>
      <c r="G808" s="55" t="n"/>
      <c r="H808" s="47" t="n"/>
      <c r="I808" s="47" t="n"/>
      <c r="J808" s="49" t="n"/>
      <c r="K808" s="49" t="n"/>
      <c r="L808" s="49" t="n"/>
      <c r="M808" s="49" t="n"/>
    </row>
    <row r="809" outlineLevel="1" ht="43.5" customFormat="1" customHeight="1" s="36">
      <c r="A809" s="37">
        <f>A770&amp;"_"&amp;B809</f>
        <v/>
      </c>
      <c r="B809" s="50" t="n">
        <v>38</v>
      </c>
      <c r="C809" s="186" t="n"/>
      <c r="D809" s="186" t="n"/>
      <c r="E809" s="45" t="inlineStr">
        <is>
          <t>– incorrect synchronization between software elements*
——软件各组成部分之间的同步不正确*</t>
        </is>
      </c>
      <c r="F809" s="53" t="inlineStr">
        <is>
          <t>not applicable</t>
        </is>
      </c>
      <c r="G809" s="46" t="n"/>
      <c r="H809" s="47" t="n"/>
      <c r="I809" s="47" t="n"/>
      <c r="J809" s="48" t="n"/>
      <c r="K809" s="49" t="n"/>
      <c r="L809" s="49" t="n"/>
      <c r="M809" s="49" t="n"/>
    </row>
    <row r="810" outlineLevel="1" ht="72" customFormat="1" customHeight="1" s="36">
      <c r="A810" s="37">
        <f>A770&amp;"_"&amp;B810</f>
        <v/>
      </c>
      <c r="B810" s="42" t="n">
        <v>39</v>
      </c>
      <c r="C810" s="187" t="inlineStr">
        <is>
          <t>Systematic coupling</t>
        </is>
      </c>
      <c r="D810" s="187" t="inlineStr">
        <is>
          <t>Systematic causes from human or tool errors can lead to the simultaneous failure of more than one function</t>
        </is>
      </c>
      <c r="E810" s="45" t="inlineStr">
        <is>
          <t>• Manufacturing fault / repair fault (e.g. false flashing, false calibration reference for sensors)
制造故障/维修故障（例如：错误的闪烁现象、传感器的错误校准参考值）</t>
        </is>
      </c>
      <c r="F810" s="53" t="inlineStr">
        <is>
          <t>not applicable</t>
        </is>
      </c>
      <c r="G810" s="55" t="n"/>
      <c r="H810" s="47" t="n"/>
      <c r="I810" s="47" t="n"/>
      <c r="J810" s="49" t="n"/>
      <c r="K810" s="49" t="n"/>
      <c r="L810" s="49" t="n"/>
      <c r="M810" s="49" t="n"/>
    </row>
    <row r="811" outlineLevel="1" ht="115.5" customFormat="1" customHeight="1" s="36">
      <c r="A811" s="37">
        <f>A770&amp;"_"&amp;B811</f>
        <v/>
      </c>
      <c r="B811" s="50" t="n">
        <v>40</v>
      </c>
      <c r="C811" s="185" t="n"/>
      <c r="D811" s="185" t="n"/>
      <c r="E811" s="61" t="inlineStr">
        <is>
          <t xml:space="preserve">• Non-diverse development approaches including:
– same software tools (e.g. IDE, compiler, linker)
非多元化的发展方式包括：
——相同的软件工具（例如集成开发环境、编译器、链接器）
</t>
        </is>
      </c>
      <c r="F811" s="45" t="inlineStr">
        <is>
          <t xml:space="preserve">Yes </t>
        </is>
      </c>
      <c r="G811" s="62" t="inlineStr">
        <is>
          <t>代码异常导致的违背安全目标</t>
        </is>
      </c>
      <c r="H811" s="63" t="inlineStr">
        <is>
          <t>工具鉴定</t>
        </is>
      </c>
      <c r="I811" s="63" t="n"/>
      <c r="J811" s="49" t="inlineStr">
        <is>
          <t>通过集成测试</t>
        </is>
      </c>
      <c r="K811" s="68" t="inlineStr">
        <is>
          <t>满足ASILB开发和测试</t>
        </is>
      </c>
      <c r="L811" s="68" t="n"/>
      <c r="M811" s="49" t="n"/>
    </row>
    <row r="812" outlineLevel="1" ht="28.5" customFormat="1" customHeight="1" s="36">
      <c r="A812" s="37">
        <f>A770&amp;"_"&amp;B812</f>
        <v/>
      </c>
      <c r="B812" s="42" t="n">
        <v>41</v>
      </c>
      <c r="C812" s="185" t="n"/>
      <c r="D812" s="185" t="n"/>
      <c r="E812" s="61" t="inlineStr">
        <is>
          <t>– same algorithms
相同的算法</t>
        </is>
      </c>
      <c r="F812" s="53" t="inlineStr">
        <is>
          <t>not applicable</t>
        </is>
      </c>
      <c r="G812" s="46" t="n"/>
      <c r="H812" s="47" t="n"/>
      <c r="I812" s="47" t="n"/>
      <c r="J812" s="48" t="n"/>
      <c r="K812" s="49" t="n"/>
      <c r="L812" s="49" t="n"/>
      <c r="M812" s="49" t="n"/>
    </row>
    <row r="813" outlineLevel="1" ht="43.5" customFormat="1" customHeight="1" s="36">
      <c r="A813" s="37">
        <f>A770&amp;"_"&amp;B813</f>
        <v/>
      </c>
      <c r="B813" s="50" t="n">
        <v>42</v>
      </c>
      <c r="C813" s="185" t="n"/>
      <c r="D813" s="185" t="n"/>
      <c r="E813" s="61" t="inlineStr">
        <is>
          <t>– same programming and/or modelling language used
所使用的编程和/或建模语言相同</t>
        </is>
      </c>
      <c r="F813" s="45" t="inlineStr">
        <is>
          <t xml:space="preserve">Yes </t>
        </is>
      </c>
      <c r="G813" s="62" t="inlineStr">
        <is>
          <t>代码异常导致的违背安全目标</t>
        </is>
      </c>
      <c r="H813" s="63" t="inlineStr">
        <is>
          <t>工具鉴定</t>
        </is>
      </c>
      <c r="I813" s="47" t="n"/>
      <c r="J813" s="49" t="inlineStr">
        <is>
          <t>通过集成测试</t>
        </is>
      </c>
      <c r="K813" s="49" t="inlineStr">
        <is>
          <t>满足ASILB开发和测试</t>
        </is>
      </c>
      <c r="L813" s="49" t="n"/>
      <c r="M813" s="49" t="n"/>
    </row>
    <row r="814" outlineLevel="1" ht="29" customFormat="1" customHeight="1" s="36">
      <c r="A814" s="37">
        <f>A770&amp;"_"&amp;B814</f>
        <v/>
      </c>
      <c r="B814" s="42" t="n">
        <v>43</v>
      </c>
      <c r="C814" s="185" t="n"/>
      <c r="D814" s="185" t="n"/>
      <c r="E814" s="61" t="inlineStr">
        <is>
          <t>– same complier/linker used
使用的是相同的编译器/链接器</t>
        </is>
      </c>
      <c r="F814" s="45" t="inlineStr">
        <is>
          <t xml:space="preserve">Yes </t>
        </is>
      </c>
      <c r="G814" s="62" t="inlineStr">
        <is>
          <t>代码异常导致的违背安全目标</t>
        </is>
      </c>
      <c r="H814" s="63" t="inlineStr">
        <is>
          <t>工具鉴定</t>
        </is>
      </c>
      <c r="I814" s="47" t="n"/>
      <c r="J814" s="49" t="inlineStr">
        <is>
          <t>通过集成测试</t>
        </is>
      </c>
      <c r="K814" s="49" t="inlineStr">
        <is>
          <t>满足ASILB开发和测试</t>
        </is>
      </c>
      <c r="L814" s="49" t="n"/>
      <c r="M814" s="49" t="n"/>
    </row>
    <row r="815" outlineLevel="1" ht="28.5" customFormat="1" customHeight="1" s="36">
      <c r="A815" s="37">
        <f>A770&amp;"_"&amp;B815</f>
        <v/>
      </c>
      <c r="B815" s="50" t="n">
        <v>44</v>
      </c>
      <c r="C815" s="185" t="n"/>
      <c r="D815" s="185" t="n"/>
      <c r="E815" s="45" t="inlineStr">
        <is>
          <t>• Same personnel
相同人员</t>
        </is>
      </c>
      <c r="F815" s="53" t="inlineStr">
        <is>
          <t>not applicable</t>
        </is>
      </c>
      <c r="G815" s="55" t="n"/>
      <c r="H815" s="47" t="n"/>
      <c r="I815" s="47" t="n"/>
      <c r="J815" s="49" t="n"/>
      <c r="K815" s="49" t="n"/>
      <c r="L815" s="49" t="n"/>
      <c r="M815" s="49" t="n"/>
    </row>
    <row r="816" outlineLevel="1" ht="57" customFormat="1" customHeight="1" s="36">
      <c r="A816" s="37">
        <f>A770&amp;"_"&amp;B816</f>
        <v/>
      </c>
      <c r="B816" s="42" t="n">
        <v>45</v>
      </c>
      <c r="C816" s="185" t="n"/>
      <c r="D816" s="185" t="n"/>
      <c r="E816" s="45" t="inlineStr">
        <is>
          <t>• Same social-cultural context (even if different personnel)
相同的社会文化背景（即便人员有所不同）</t>
        </is>
      </c>
      <c r="F816" s="53" t="inlineStr">
        <is>
          <t>not applicable</t>
        </is>
      </c>
      <c r="G816" s="55" t="n"/>
      <c r="H816" s="47" t="n"/>
      <c r="I816" s="47" t="n"/>
      <c r="J816" s="49" t="n"/>
      <c r="K816" s="49" t="n"/>
      <c r="L816" s="49" t="n"/>
      <c r="M816" s="49" t="n"/>
    </row>
    <row r="817" outlineLevel="1" ht="57.5" customFormat="1" customHeight="1" s="36">
      <c r="A817" s="37">
        <f>A770&amp;"_"&amp;B817</f>
        <v/>
      </c>
      <c r="B817" s="50" t="n">
        <v>46</v>
      </c>
      <c r="C817" s="185" t="n"/>
      <c r="D817" s="185" t="n"/>
      <c r="E817" s="45" t="inlineStr">
        <is>
          <t>• Development fault, e.g.
– human error
开发失误，例如：
– 人为错误</t>
        </is>
      </c>
      <c r="F817" s="53" t="inlineStr">
        <is>
          <t>not applicable</t>
        </is>
      </c>
      <c r="G817" s="55" t="n"/>
      <c r="H817" s="47" t="n"/>
      <c r="I817" s="47" t="n"/>
      <c r="J817" s="49" t="n"/>
      <c r="K817" s="49" t="n"/>
      <c r="L817" s="49" t="n"/>
      <c r="M817" s="49" t="n"/>
    </row>
    <row r="818" outlineLevel="1" ht="28.5" customFormat="1" customHeight="1" s="36">
      <c r="A818" s="37">
        <f>A770&amp;"_"&amp;B818</f>
        <v/>
      </c>
      <c r="B818" s="42" t="n">
        <v>47</v>
      </c>
      <c r="C818" s="185" t="n"/>
      <c r="D818" s="185" t="n"/>
      <c r="E818" s="45" t="inlineStr">
        <is>
          <t>– insufficiently qualified personnel
资质不足的人员</t>
        </is>
      </c>
      <c r="F818" s="53" t="inlineStr">
        <is>
          <t>not applicable</t>
        </is>
      </c>
      <c r="G818" s="55" t="n"/>
      <c r="H818" s="47" t="n"/>
      <c r="I818" s="47" t="n"/>
      <c r="J818" s="49" t="n"/>
      <c r="K818" s="49" t="n"/>
      <c r="L818" s="49" t="n"/>
      <c r="M818" s="49" t="n"/>
    </row>
    <row r="819" outlineLevel="1" ht="28.5" customFormat="1" customHeight="1" s="36">
      <c r="A819" s="37">
        <f>A770&amp;"_"&amp;B819</f>
        <v/>
      </c>
      <c r="B819" s="50" t="n">
        <v>48</v>
      </c>
      <c r="C819" s="185" t="n"/>
      <c r="D819" s="185" t="n"/>
      <c r="E819" s="45" t="inlineStr">
        <is>
          <t>– process weaknesses
处理弱点</t>
        </is>
      </c>
      <c r="F819" s="53" t="inlineStr">
        <is>
          <t>not applicable</t>
        </is>
      </c>
      <c r="G819" s="55" t="n"/>
      <c r="H819" s="47" t="n"/>
      <c r="I819" s="47" t="n"/>
      <c r="J819" s="49" t="n"/>
      <c r="K819" s="49" t="n"/>
      <c r="L819" s="49" t="n"/>
      <c r="M819" s="49" t="n"/>
    </row>
    <row r="820" outlineLevel="1" ht="26" customFormat="1" customHeight="1" s="36">
      <c r="A820" s="37">
        <f>A770&amp;"_"&amp;B820</f>
        <v/>
      </c>
      <c r="B820" s="42" t="n">
        <v>49</v>
      </c>
      <c r="C820" s="186" t="n"/>
      <c r="D820" s="186" t="n"/>
      <c r="E820" s="45" t="inlineStr">
        <is>
          <t>– insufficient methods方法不足</t>
        </is>
      </c>
      <c r="F820" s="53" t="inlineStr">
        <is>
          <t>not applicable</t>
        </is>
      </c>
      <c r="G820" s="55" t="n"/>
      <c r="H820" s="47" t="n"/>
      <c r="I820" s="47" t="n"/>
      <c r="J820" s="49" t="n"/>
      <c r="K820" s="49" t="n"/>
      <c r="L820" s="49" t="n"/>
      <c r="M820" s="49" t="n"/>
    </row>
    <row r="821" ht="75" customFormat="1" customHeight="1" s="36">
      <c r="A821" s="67">
        <f>'Top Event'!B20</f>
        <v/>
      </c>
      <c r="B821" s="67" t="n"/>
      <c r="C821" s="67">
        <f>'Top Event'!C20</f>
        <v/>
      </c>
      <c r="D821" s="69">
        <f>'Top Event'!D20</f>
        <v/>
      </c>
      <c r="E821" s="67">
        <f>'Top Event'!E20</f>
        <v/>
      </c>
      <c r="F821" s="66" t="n"/>
      <c r="G821" s="66" t="n"/>
      <c r="H821" s="64" t="n"/>
      <c r="I821" s="64" t="n"/>
      <c r="J821" s="36" t="n"/>
      <c r="K821" s="36" t="n"/>
      <c r="L821" s="36" t="n"/>
      <c r="M821" s="36" t="n"/>
    </row>
    <row r="822" ht="37.25" customFormat="1" customHeight="1" s="36">
      <c r="A822" s="37" t="n"/>
      <c r="B822" s="37" t="n"/>
      <c r="C822" s="38" t="inlineStr">
        <is>
          <t>DF-I Category</t>
        </is>
      </c>
      <c r="D822" s="38" t="inlineStr">
        <is>
          <t>Interpretation</t>
        </is>
      </c>
      <c r="E822" s="38" t="inlineStr">
        <is>
          <t>DF-Initiator Examples</t>
        </is>
      </c>
      <c r="F822" s="38" t="inlineStr">
        <is>
          <t>Applicable?</t>
        </is>
      </c>
      <c r="G822" s="38" t="inlineStr">
        <is>
          <t>safety  goal related</t>
        </is>
      </c>
      <c r="H822" s="39" t="inlineStr">
        <is>
          <t>Counter Measure</t>
        </is>
      </c>
      <c r="I822" s="39" t="inlineStr">
        <is>
          <t>Counter Measure ID</t>
        </is>
      </c>
      <c r="J822" s="38" t="inlineStr">
        <is>
          <t>Evidence</t>
        </is>
      </c>
      <c r="K822" s="38" t="inlineStr">
        <is>
          <t>sufficient?</t>
        </is>
      </c>
      <c r="L822" s="38" t="n"/>
      <c r="M822" s="41" t="inlineStr">
        <is>
          <t>Comment</t>
        </is>
      </c>
    </row>
    <row r="823" outlineLevel="1" ht="100" customFormat="1" customHeight="1" s="36">
      <c r="A823" s="37">
        <f>A821&amp;"_"&amp;B823</f>
        <v/>
      </c>
      <c r="B823" s="42" t="n">
        <v>1</v>
      </c>
      <c r="C823" s="183" t="inlineStr">
        <is>
          <t>Shared resource</t>
        </is>
      </c>
      <c r="D823" s="184" t="inlineStr">
        <is>
          <t>The same software, hardware, or system element instance used by the two elements which are therefore affected by the failure or unavailability of that shared resource, i.e. from a physical perspective.</t>
        </is>
      </c>
      <c r="E823" s="45" t="inlineStr">
        <is>
          <t>Software component used by more than one other software component, e.g.
– reused standard software modules
被多个其他软件组件所使用的软件组件，例如：
– 重复使用的标准软件模块</t>
        </is>
      </c>
      <c r="F823" s="45" t="inlineStr">
        <is>
          <t xml:space="preserve">Yes </t>
        </is>
      </c>
      <c r="G823" s="54" t="inlineStr">
        <is>
          <t>CAN解析模块故障后无法传递CAN原始信号给BCC模块进行报文校验，违背安全目标SG01,SG02,SG03
CAN解析模块故障后无法传递网络管理信号给网络管理模块进行网络状态处理，不违背安全目标</t>
        </is>
      </c>
      <c r="H823" s="47" t="inlineStr">
        <is>
          <t>1：支持硬线制动灯点亮：
2：报文校验失败后会点亮制动灯</t>
        </is>
      </c>
      <c r="I823" s="47" t="inlineStr">
        <is>
          <t>SW_DFA_SM_001 
SW_DFA_SM_005</t>
        </is>
      </c>
      <c r="J823" s="48" t="inlineStr">
        <is>
          <t>通过集成测试</t>
        </is>
      </c>
      <c r="K823" s="49" t="inlineStr">
        <is>
          <t>满足ASILB开发和测试</t>
        </is>
      </c>
      <c r="L823" s="49" t="n"/>
      <c r="M823" s="49" t="n"/>
    </row>
    <row r="824" outlineLevel="1" ht="28.5" customFormat="1" customHeight="1" s="36">
      <c r="A824" s="37">
        <f>A821&amp;"_"&amp;B824</f>
        <v/>
      </c>
      <c r="B824" s="50" t="n">
        <v>2</v>
      </c>
      <c r="C824" s="185" t="n"/>
      <c r="D824" s="185" t="n"/>
      <c r="E824" s="45" t="inlineStr">
        <is>
          <t>– libraries
库</t>
        </is>
      </c>
      <c r="F824" s="53" t="inlineStr">
        <is>
          <t>not applicable</t>
        </is>
      </c>
      <c r="G824" s="55" t="n"/>
      <c r="H824" s="47" t="n"/>
      <c r="I824" s="47" t="n"/>
      <c r="J824" s="49" t="n"/>
      <c r="K824" s="49" t="n"/>
      <c r="L824" s="49" t="n"/>
      <c r="M824" s="49" t="n"/>
    </row>
    <row r="825" outlineLevel="1" ht="28.5" customFormat="1" customHeight="1" s="36">
      <c r="A825" s="37">
        <f>A821&amp;"_"&amp;B825</f>
        <v/>
      </c>
      <c r="B825" s="42" t="n">
        <v>3</v>
      </c>
      <c r="C825" s="185" t="n"/>
      <c r="D825" s="185" t="n"/>
      <c r="E825" s="45" t="inlineStr">
        <is>
          <t>– middleware
中间件</t>
        </is>
      </c>
      <c r="F825" s="53" t="inlineStr">
        <is>
          <t>not applicable</t>
        </is>
      </c>
      <c r="G825" s="55" t="n"/>
      <c r="H825" s="47" t="n"/>
      <c r="I825" s="47" t="n"/>
      <c r="J825" s="49" t="n"/>
      <c r="K825" s="49" t="n"/>
      <c r="L825" s="49" t="n"/>
      <c r="M825" s="49" t="n"/>
    </row>
    <row r="826" outlineLevel="1" ht="28.5" customFormat="1" customHeight="1" s="36">
      <c r="A826" s="37">
        <f>A821&amp;"_"&amp;B826</f>
        <v/>
      </c>
      <c r="B826" s="50" t="n">
        <v>4</v>
      </c>
      <c r="C826" s="185" t="n"/>
      <c r="D826" s="185" t="n"/>
      <c r="E826" s="45" t="inlineStr">
        <is>
          <t>– basic software
基本软件</t>
        </is>
      </c>
      <c r="F826" s="53" t="inlineStr">
        <is>
          <t>not applicable</t>
        </is>
      </c>
      <c r="G826" s="46" t="n"/>
      <c r="H826" s="47" t="n"/>
      <c r="I826" s="47" t="n"/>
      <c r="J826" s="48" t="n"/>
      <c r="K826" s="49" t="n"/>
      <c r="L826" s="49" t="n"/>
      <c r="M826" s="49" t="n"/>
    </row>
    <row r="827" outlineLevel="1" ht="43.5" customFormat="1" customHeight="1" s="36">
      <c r="A827" s="37">
        <f>A821&amp;"_"&amp;B827</f>
        <v/>
      </c>
      <c r="B827" s="42" t="n">
        <v>5</v>
      </c>
      <c r="C827" s="185" t="n"/>
      <c r="D827" s="185" t="n"/>
      <c r="E827" s="45" t="inlineStr">
        <is>
          <t xml:space="preserve">– operating system including scheduler
——包含调度器的操作系统
</t>
        </is>
      </c>
      <c r="F827" s="53" t="inlineStr">
        <is>
          <t>not applicable</t>
        </is>
      </c>
      <c r="G827" s="55" t="n"/>
      <c r="H827" s="47" t="n"/>
      <c r="I827" s="47" t="n"/>
      <c r="J827" s="49" t="n"/>
      <c r="K827" s="49" t="n"/>
      <c r="L827" s="49" t="n"/>
      <c r="M827" s="49" t="n"/>
    </row>
    <row r="828" outlineLevel="1" ht="28.5" customFormat="1" customHeight="1" s="36">
      <c r="A828" s="37">
        <f>A821&amp;"_"&amp;B828</f>
        <v/>
      </c>
      <c r="B828" s="50" t="n">
        <v>6</v>
      </c>
      <c r="C828" s="185" t="n"/>
      <c r="D828" s="185" t="n"/>
      <c r="E828" s="45" t="inlineStr">
        <is>
          <t>– communication stack
通信协议栈</t>
        </is>
      </c>
      <c r="F828" s="53" t="inlineStr">
        <is>
          <t>not applicable</t>
        </is>
      </c>
      <c r="G828" s="46" t="n"/>
      <c r="H828" s="47" t="n"/>
      <c r="I828" s="47" t="n"/>
      <c r="J828" s="48" t="n"/>
      <c r="K828" s="49" t="n"/>
      <c r="L828" s="49" t="n"/>
      <c r="M828" s="49" t="n"/>
    </row>
    <row r="829" outlineLevel="1" ht="29" customFormat="1" customHeight="1" s="36">
      <c r="A829" s="37">
        <f>A821&amp;"_"&amp;B829</f>
        <v/>
      </c>
      <c r="B829" s="42" t="n">
        <v>7</v>
      </c>
      <c r="C829" s="185" t="n"/>
      <c r="D829" s="185" t="n"/>
      <c r="E829" s="45" t="inlineStr">
        <is>
          <t xml:space="preserve">– parameter file参数文件
</t>
        </is>
      </c>
      <c r="F829" s="53" t="inlineStr">
        <is>
          <t>not applicable</t>
        </is>
      </c>
      <c r="G829" s="55" t="n"/>
      <c r="H829" s="47" t="n"/>
      <c r="I829" s="47" t="n"/>
      <c r="J829" s="49" t="n"/>
      <c r="K829" s="49" t="n"/>
      <c r="L829" s="49" t="n"/>
      <c r="M829" s="49" t="n"/>
    </row>
    <row r="830" outlineLevel="1" ht="28.5" customFormat="1" customHeight="1" s="36">
      <c r="A830" s="37">
        <f>A821&amp;"_"&amp;B830</f>
        <v/>
      </c>
      <c r="B830" s="50" t="n">
        <v>8</v>
      </c>
      <c r="C830" s="185" t="n"/>
      <c r="D830" s="185" t="n"/>
      <c r="E830" s="45" t="inlineStr">
        <is>
          <t>– execution time
执行时间</t>
        </is>
      </c>
      <c r="F830" s="53" t="inlineStr">
        <is>
          <t>not applicable</t>
        </is>
      </c>
      <c r="G830" s="55" t="n"/>
      <c r="H830" s="47" t="n"/>
      <c r="I830" s="47" t="n"/>
      <c r="J830" s="49" t="n"/>
      <c r="K830" s="49" t="n"/>
      <c r="L830" s="49" t="n"/>
      <c r="M830" s="49" t="n"/>
    </row>
    <row r="831" outlineLevel="1" ht="26" customFormat="1" customHeight="1" s="36">
      <c r="A831" s="37">
        <f>A821&amp;"_"&amp;B831</f>
        <v/>
      </c>
      <c r="B831" s="42" t="n">
        <v>9</v>
      </c>
      <c r="C831" s="186" t="n"/>
      <c r="D831" s="186" t="n"/>
      <c r="E831" s="45" t="inlineStr">
        <is>
          <t>– allocated memory</t>
        </is>
      </c>
      <c r="F831" s="53" t="inlineStr">
        <is>
          <t>not applicable</t>
        </is>
      </c>
      <c r="G831" s="55" t="n"/>
      <c r="H831" s="47" t="n"/>
      <c r="I831" s="47" t="n"/>
      <c r="J831" s="49" t="n"/>
      <c r="K831" s="49" t="n"/>
      <c r="L831" s="49" t="n"/>
      <c r="M831" s="49" t="n"/>
    </row>
    <row r="832" outlineLevel="1" ht="28.5" customFormat="1" customHeight="1" s="36">
      <c r="A832" s="37">
        <f>A821&amp;"_"&amp;B832</f>
        <v/>
      </c>
      <c r="B832" s="50" t="n">
        <v>10</v>
      </c>
      <c r="C832" s="187" t="inlineStr">
        <is>
          <t>Components of
identical type</t>
        </is>
      </c>
      <c r="D832" s="187" t="inlineStr">
        <is>
          <t>Identical components may fail with higher probability simultaneously (common mode failures)</t>
        </is>
      </c>
      <c r="E832" s="45" t="inlineStr">
        <is>
          <t>• Reused standard software modules
重复使用的标准软件模块</t>
        </is>
      </c>
      <c r="F832" s="53" t="inlineStr">
        <is>
          <t>not applicable</t>
        </is>
      </c>
      <c r="G832" s="46" t="n"/>
      <c r="H832" s="47" t="n"/>
      <c r="I832" s="47" t="n"/>
      <c r="J832" s="48" t="n"/>
      <c r="K832" s="49" t="n"/>
      <c r="L832" s="49" t="n"/>
      <c r="M832" s="49" t="n"/>
    </row>
    <row r="833" outlineLevel="1" ht="28.5" customFormat="1" customHeight="1" s="36">
      <c r="A833" s="37">
        <f>A821&amp;"_"&amp;B833</f>
        <v/>
      </c>
      <c r="B833" s="42" t="n">
        <v>11</v>
      </c>
      <c r="C833" s="185" t="n"/>
      <c r="D833" s="185" t="n"/>
      <c r="E833" s="45" t="inlineStr">
        <is>
          <t>• Standard library components
标准库组件</t>
        </is>
      </c>
      <c r="F833" s="53" t="inlineStr">
        <is>
          <t>not applicable</t>
        </is>
      </c>
      <c r="G833" s="46" t="n"/>
      <c r="H833" s="47" t="n"/>
      <c r="I833" s="47" t="n"/>
      <c r="J833" s="48" t="n"/>
      <c r="K833" s="49" t="n"/>
      <c r="L833" s="49" t="n"/>
      <c r="M833" s="49" t="n"/>
    </row>
    <row r="834" outlineLevel="1" ht="28.5" customFormat="1" customHeight="1" s="36">
      <c r="A834" s="37">
        <f>A821&amp;"_"&amp;B834</f>
        <v/>
      </c>
      <c r="B834" s="50" t="n">
        <v>12</v>
      </c>
      <c r="C834" s="185" t="n"/>
      <c r="D834" s="185" t="n"/>
      <c r="E834" s="45" t="inlineStr">
        <is>
          <t>• Middleware
中间件</t>
        </is>
      </c>
      <c r="F834" s="53" t="inlineStr">
        <is>
          <t>not applicable</t>
        </is>
      </c>
      <c r="G834" s="55" t="n"/>
      <c r="H834" s="47" t="n"/>
      <c r="I834" s="47" t="n"/>
      <c r="J834" s="49" t="n"/>
      <c r="K834" s="49" t="n"/>
      <c r="L834" s="49" t="n"/>
      <c r="M834" s="49" t="n"/>
    </row>
    <row r="835" outlineLevel="1" ht="28.5" customFormat="1" customHeight="1" s="36">
      <c r="A835" s="37">
        <f>A821&amp;"_"&amp;B835</f>
        <v/>
      </c>
      <c r="B835" s="42" t="n">
        <v>13</v>
      </c>
      <c r="C835" s="185" t="n"/>
      <c r="D835" s="185" t="n"/>
      <c r="E835" s="45" t="inlineStr">
        <is>
          <t>• Operating system
操作系统</t>
        </is>
      </c>
      <c r="F835" s="53" t="inlineStr">
        <is>
          <t>not applicable</t>
        </is>
      </c>
      <c r="G835" s="55" t="n"/>
      <c r="H835" s="47" t="n"/>
      <c r="I835" s="47" t="n"/>
      <c r="J835" s="49" t="n"/>
      <c r="K835" s="49" t="n"/>
      <c r="L835" s="49" t="n"/>
      <c r="M835" s="49" t="n"/>
    </row>
    <row r="836" outlineLevel="1" ht="28.5" customFormat="1" customHeight="1" s="36">
      <c r="A836" s="37">
        <f>A821&amp;"_"&amp;B836</f>
        <v/>
      </c>
      <c r="B836" s="50" t="n">
        <v>14</v>
      </c>
      <c r="C836" s="185" t="n"/>
      <c r="D836" s="185" t="n"/>
      <c r="E836" s="45" t="inlineStr">
        <is>
          <t>• Communication stack
通信栈</t>
        </is>
      </c>
      <c r="F836" s="53" t="inlineStr">
        <is>
          <t>not applicable</t>
        </is>
      </c>
      <c r="G836" s="55" t="n"/>
      <c r="H836" s="47" t="n"/>
      <c r="I836" s="47" t="n"/>
      <c r="J836" s="49" t="n"/>
      <c r="K836" s="49" t="n"/>
      <c r="L836" s="49" t="n"/>
      <c r="M836" s="49" t="n"/>
    </row>
    <row r="837" outlineLevel="1" ht="58" customFormat="1" customHeight="1" s="36">
      <c r="A837" s="37">
        <f>A821&amp;"_"&amp;B837</f>
        <v/>
      </c>
      <c r="B837" s="42" t="n">
        <v>15</v>
      </c>
      <c r="C837" s="186" t="n"/>
      <c r="D837" s="186" t="n"/>
      <c r="E837" s="45" t="inlineStr">
        <is>
          <t xml:space="preserve">
• Parameter set
参数设置
</t>
        </is>
      </c>
      <c r="F837" s="53" t="inlineStr">
        <is>
          <t>not applicable</t>
        </is>
      </c>
      <c r="G837" s="55" t="n"/>
      <c r="H837" s="47" t="n"/>
      <c r="I837" s="47" t="n"/>
      <c r="J837" s="49" t="n"/>
      <c r="K837" s="49" t="n"/>
      <c r="L837" s="49" t="n"/>
      <c r="M837" s="49" t="n"/>
    </row>
    <row r="838" outlineLevel="1" ht="100.5" customFormat="1" customHeight="1" s="36">
      <c r="A838" s="37">
        <f>A821&amp;"_"&amp;B838</f>
        <v/>
      </c>
      <c r="B838" s="50" t="n">
        <v>16</v>
      </c>
      <c r="C838" s="187" t="inlineStr">
        <is>
          <t>Communication
between the two
functions</t>
        </is>
      </c>
      <c r="D838" s="184" t="inlineStr">
        <is>
          <t>Receiving function is affected by information that is false, lost, sent multiple times, or in the wrong order etc. from the sender</t>
        </is>
      </c>
      <c r="E838"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838" s="45" t="inlineStr">
        <is>
          <t xml:space="preserve">Yes </t>
        </is>
      </c>
      <c r="G838" s="54" t="inlineStr">
        <is>
          <t>CAN解析模块故障后无法传递CAN原始信号给BCC模块进行报文校验，违背安全目标SG01,SG02,SG03
CAN解析模块故障后无法传递网络管理信号给网络管理模块进行网络状态处理，不违背安全目标</t>
        </is>
      </c>
      <c r="H838" s="47" t="inlineStr">
        <is>
          <t>1：支持硬线制动灯点亮：
2：报文校验失败后会点亮制动灯</t>
        </is>
      </c>
      <c r="I838" s="47" t="inlineStr">
        <is>
          <t>SW_DFA_SM_001 
SW_DFA_SM_005</t>
        </is>
      </c>
      <c r="J838" s="48" t="inlineStr">
        <is>
          <t>通过集成测试</t>
        </is>
      </c>
      <c r="K838" s="49" t="inlineStr">
        <is>
          <t>满足ASILB开发和测试</t>
        </is>
      </c>
      <c r="L838" s="49" t="n"/>
      <c r="M838" s="49" t="n"/>
    </row>
    <row r="839" outlineLevel="1" ht="72.5" customFormat="1" customHeight="1" s="36">
      <c r="A839" s="37">
        <f>A821&amp;"_"&amp;B839</f>
        <v/>
      </c>
      <c r="B839" s="42" t="n">
        <v>17</v>
      </c>
      <c r="C839" s="185" t="n"/>
      <c r="D839" s="185" t="n"/>
      <c r="E839" s="45" t="inlineStr">
        <is>
          <t>• Data or message corruption/ repetition*/ loss*/ delay*/ masquerading or incorrect addressing of information*
数据或信息的损坏/重复/丢失/延迟/伪装或信息的错误标识*</t>
        </is>
      </c>
      <c r="F839" s="53" t="inlineStr">
        <is>
          <t>not applicable</t>
        </is>
      </c>
      <c r="G839" s="55" t="n"/>
      <c r="H839" s="47" t="n"/>
      <c r="I839" s="47" t="n"/>
      <c r="J839" s="49" t="n"/>
      <c r="K839" s="49" t="n"/>
      <c r="L839" s="49" t="n"/>
      <c r="M839" s="49" t="n"/>
    </row>
    <row r="840" outlineLevel="1" ht="49" customFormat="1" customHeight="1" s="36">
      <c r="A840" s="37">
        <f>A821&amp;"_"&amp;B840</f>
        <v/>
      </c>
      <c r="B840" s="50" t="n">
        <v>18</v>
      </c>
      <c r="C840" s="185" t="n"/>
      <c r="D840" s="185" t="n"/>
      <c r="E840" s="45" t="inlineStr">
        <is>
          <t>• Insertion*/ sequence of information*
插入* / 信息序列*</t>
        </is>
      </c>
      <c r="F840" s="53" t="inlineStr">
        <is>
          <t>not applicable</t>
        </is>
      </c>
      <c r="G840" s="55" t="n"/>
      <c r="H840" s="47" t="n"/>
      <c r="I840" s="47" t="n"/>
      <c r="J840" s="49" t="n"/>
      <c r="K840" s="49" t="n"/>
      <c r="L840" s="49" t="n"/>
      <c r="M840" s="49" t="n"/>
    </row>
    <row r="841" outlineLevel="1" ht="48" customFormat="1" customHeight="1" s="36">
      <c r="A841" s="37">
        <f>A821&amp;"_"&amp;B841</f>
        <v/>
      </c>
      <c r="B841" s="42" t="n">
        <v>19</v>
      </c>
      <c r="C841" s="185" t="n"/>
      <c r="D841" s="185" t="n"/>
      <c r="E841" s="45" t="inlineStr">
        <is>
          <t>• Corruption of information*
信息的失真*</t>
        </is>
      </c>
      <c r="F841" s="53" t="inlineStr">
        <is>
          <t>not applicable</t>
        </is>
      </c>
      <c r="G841" s="55" t="n"/>
      <c r="H841" s="47" t="n"/>
      <c r="I841" s="47" t="n"/>
      <c r="J841" s="49" t="n"/>
      <c r="K841" s="49" t="n"/>
      <c r="L841" s="49" t="n"/>
      <c r="M841" s="49" t="n"/>
    </row>
    <row r="842" outlineLevel="1" ht="48" customFormat="1" customHeight="1" s="36">
      <c r="A842" s="37">
        <f>A821&amp;"_"&amp;B842</f>
        <v/>
      </c>
      <c r="B842" s="50" t="n">
        <v>20</v>
      </c>
      <c r="C842" s="185" t="n"/>
      <c r="D842" s="185" t="n"/>
      <c r="E842" s="45" t="inlineStr">
        <is>
          <t>• Asymmetric information sent from a sender to multiple receivers*
从发送者传向多个接收者的不对称信息*</t>
        </is>
      </c>
      <c r="F842" s="53" t="inlineStr">
        <is>
          <t>not applicable</t>
        </is>
      </c>
      <c r="G842" s="55" t="n"/>
      <c r="H842" s="47" t="n"/>
      <c r="I842" s="47" t="n"/>
      <c r="J842" s="49" t="n"/>
      <c r="K842" s="49" t="n"/>
      <c r="L842" s="49" t="n"/>
      <c r="M842" s="49" t="n"/>
    </row>
    <row r="843" outlineLevel="1" ht="48" customFormat="1" customHeight="1" s="36">
      <c r="A843" s="37">
        <f>A821&amp;"_"&amp;B843</f>
        <v/>
      </c>
      <c r="B843" s="42" t="n">
        <v>21</v>
      </c>
      <c r="C843" s="185" t="n"/>
      <c r="D843" s="185" t="n"/>
      <c r="E843" s="45" t="inlineStr">
        <is>
          <t>• Information from a sender received by only a subset of the receivers*
仅部分接收者接收到的来自发送者的信息*</t>
        </is>
      </c>
      <c r="F843" s="53" t="inlineStr">
        <is>
          <t>not applicable</t>
        </is>
      </c>
      <c r="G843" s="55" t="n"/>
      <c r="H843" s="47" t="n"/>
      <c r="I843" s="47" t="n"/>
      <c r="J843" s="49" t="n"/>
      <c r="K843" s="49" t="n"/>
      <c r="L843" s="49" t="n"/>
      <c r="M843" s="49" t="n"/>
    </row>
    <row r="844" outlineLevel="1" ht="43.5" customFormat="1" customHeight="1" s="36">
      <c r="A844" s="37">
        <f>A821&amp;"_"&amp;B844</f>
        <v/>
      </c>
      <c r="B844" s="50" t="n">
        <v>22</v>
      </c>
      <c r="C844" s="186" t="n"/>
      <c r="D844" s="186" t="n"/>
      <c r="E844" s="45" t="inlineStr">
        <is>
          <t>• Blocking access to a communication channel*
阻止对通信通道的访问*</t>
        </is>
      </c>
      <c r="F844" s="53" t="inlineStr">
        <is>
          <t>not applicable</t>
        </is>
      </c>
      <c r="G844" s="46" t="n"/>
      <c r="H844" s="47" t="n"/>
      <c r="I844" s="47" t="n"/>
      <c r="J844" s="48" t="n"/>
      <c r="K844" s="49" t="n"/>
      <c r="L844" s="49" t="n"/>
      <c r="M844" s="49" t="n"/>
    </row>
    <row r="845" outlineLevel="1" ht="45" customFormat="1" customHeight="1" s="36">
      <c r="A845" s="37">
        <f>A821&amp;"_"&amp;B845</f>
        <v/>
      </c>
      <c r="B845" s="42" t="n">
        <v>23</v>
      </c>
      <c r="C845" s="187" t="inlineStr">
        <is>
          <t>Shared information
inputs</t>
        </is>
      </c>
      <c r="D845" s="187" t="inlineStr">
        <is>
          <t>Same information consumed by the two functions even in absence of shared resources, i.e. from a functional perspective</t>
        </is>
      </c>
      <c r="E845" s="45" t="inlineStr">
        <is>
          <t>• Calibration parameters
标准参数</t>
        </is>
      </c>
      <c r="F845" s="53" t="inlineStr">
        <is>
          <t>not applicable</t>
        </is>
      </c>
      <c r="G845" s="55" t="n"/>
      <c r="H845" s="47" t="n"/>
      <c r="I845" s="47" t="n"/>
      <c r="J845" s="49" t="n"/>
      <c r="K845" s="49" t="n"/>
      <c r="L845" s="49" t="n"/>
      <c r="M845" s="49" t="n"/>
    </row>
    <row r="846" outlineLevel="1" ht="57" customFormat="1" customHeight="1" s="36">
      <c r="A846" s="37">
        <f>A821&amp;"_"&amp;B846</f>
        <v/>
      </c>
      <c r="B846" s="50" t="n">
        <v>24</v>
      </c>
      <c r="C846" s="185" t="n"/>
      <c r="D846" s="185" t="n"/>
      <c r="E846" s="45" t="inlineStr">
        <is>
          <t>• Constants, or variables, being global to the two software functions
常量或变量对于这两个软件功能而言是全局性的。</t>
        </is>
      </c>
      <c r="F846" s="53" t="inlineStr">
        <is>
          <t>not applicable</t>
        </is>
      </c>
      <c r="G846" s="46" t="n"/>
      <c r="H846" s="47" t="n"/>
      <c r="I846" s="47" t="n"/>
      <c r="J846" s="48" t="n"/>
      <c r="K846" s="49" t="n"/>
      <c r="L846" s="49" t="n"/>
      <c r="M846" s="49" t="n"/>
    </row>
    <row r="847" outlineLevel="1" ht="100" customFormat="1" customHeight="1" s="36">
      <c r="A847" s="37">
        <f>A821&amp;"_"&amp;B847</f>
        <v/>
      </c>
      <c r="B847" s="42" t="n">
        <v>25</v>
      </c>
      <c r="C847" s="185" t="n"/>
      <c r="D847" s="185" t="n"/>
      <c r="E847" s="45" t="inlineStr">
        <is>
          <t>• Basic software passes data (read from hardware register and converted into logical information) to two application software functions
基础软件会将数据（从硬件寄存器读取并转换为逻辑信息）传递给两个应用程序软件功能。</t>
        </is>
      </c>
      <c r="F847" s="53" t="inlineStr">
        <is>
          <t>not applicable</t>
        </is>
      </c>
      <c r="G847" s="55" t="n"/>
      <c r="H847" s="47" t="n"/>
      <c r="I847" s="47" t="n"/>
      <c r="J847" s="49" t="n"/>
      <c r="K847" s="49" t="n"/>
      <c r="L847" s="49" t="n"/>
      <c r="M847" s="49" t="n"/>
    </row>
    <row r="848" outlineLevel="1" ht="115.5" customFormat="1" customHeight="1" s="36">
      <c r="A848" s="37">
        <f>A821&amp;"_"&amp;B848</f>
        <v/>
      </c>
      <c r="B848" s="50" t="n">
        <v>26</v>
      </c>
      <c r="C848" s="186" t="n"/>
      <c r="D848" s="186" t="n"/>
      <c r="E848"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848" s="53" t="inlineStr">
        <is>
          <t>not applicable</t>
        </is>
      </c>
      <c r="G848" s="55" t="n"/>
      <c r="H848" s="47" t="n"/>
      <c r="I848" s="47" t="n"/>
      <c r="J848" s="49" t="n"/>
      <c r="K848" s="49" t="n"/>
      <c r="L848" s="49" t="n"/>
      <c r="M848" s="49" t="n"/>
    </row>
    <row r="849" outlineLevel="1" ht="68.5" customFormat="1" customHeight="1" s="36">
      <c r="A849" s="37">
        <f>A821&amp;"_"&amp;B849</f>
        <v/>
      </c>
      <c r="B849" s="42" t="n">
        <v>27</v>
      </c>
      <c r="C849" s="187" t="inlineStr">
        <is>
          <t>Environmental
influences</t>
        </is>
      </c>
      <c r="D849" s="184" t="inlineStr">
        <is>
          <t>Common external environmental disturbance affects both functions</t>
        </is>
      </c>
      <c r="E849" s="45" t="inlineStr">
        <is>
          <t xml:space="preserve">System-level: mechanical shock, water ingress
 系统层面：机械震动、进水                                                                                                                                                                </t>
        </is>
      </c>
      <c r="F849" s="53" t="inlineStr">
        <is>
          <t>not applicable</t>
        </is>
      </c>
      <c r="G849" s="55" t="n"/>
      <c r="H849" s="47" t="n"/>
      <c r="I849" s="47" t="n"/>
      <c r="J849" s="49" t="n"/>
      <c r="K849" s="49" t="n"/>
      <c r="L849" s="49" t="n"/>
      <c r="M849" s="49" t="n"/>
    </row>
    <row r="850" outlineLevel="1" ht="28.5" customFormat="1" customHeight="1" s="36">
      <c r="A850" s="37">
        <f>A821&amp;"_"&amp;B850</f>
        <v/>
      </c>
      <c r="B850" s="50" t="n">
        <v>28</v>
      </c>
      <c r="C850" s="185" t="n"/>
      <c r="D850" s="185" t="n"/>
      <c r="E850" s="45" t="inlineStr">
        <is>
          <t>Software-level: not applicable for Software
软件层面：不适用于软件</t>
        </is>
      </c>
      <c r="F850" s="53" t="inlineStr">
        <is>
          <t>not applicable</t>
        </is>
      </c>
      <c r="G850" s="55" t="n"/>
      <c r="H850" s="47" t="n"/>
      <c r="I850" s="47" t="n"/>
      <c r="J850" s="49" t="n"/>
      <c r="K850" s="49" t="n"/>
      <c r="L850" s="49" t="n"/>
      <c r="M850" s="49" t="n"/>
    </row>
    <row r="851" outlineLevel="1" ht="43" customFormat="1" customHeight="1" s="36">
      <c r="A851" s="37">
        <f>A821&amp;"_"&amp;B851</f>
        <v/>
      </c>
      <c r="B851" s="42" t="n">
        <v>29</v>
      </c>
      <c r="C851" s="186" t="n"/>
      <c r="D851" s="186" t="n"/>
      <c r="E851" s="45" t="inlineStr">
        <is>
          <t>Hardware-level: under and over voltage of the power supply        
硬件层面：电源的欠压和过压情况</t>
        </is>
      </c>
      <c r="F851" s="53" t="inlineStr">
        <is>
          <t>not applicable</t>
        </is>
      </c>
      <c r="G851" s="55" t="n"/>
      <c r="H851" s="47" t="n"/>
      <c r="I851" s="47" t="n"/>
      <c r="J851" s="49" t="n"/>
      <c r="K851" s="49" t="n"/>
      <c r="L851" s="49" t="n"/>
      <c r="M851" s="49" t="n"/>
    </row>
    <row r="852" outlineLevel="1" ht="100" customFormat="1" customHeight="1" s="36">
      <c r="A852" s="37">
        <f>A821&amp;"_"&amp;B852</f>
        <v/>
      </c>
      <c r="B852" s="50" t="n">
        <v>30</v>
      </c>
      <c r="C852" s="187" t="inlineStr">
        <is>
          <t>Unintended impact</t>
        </is>
      </c>
      <c r="D852" s="187" t="inlineStr">
        <is>
          <t>Two functions affecting each other’s elements directly via an implicit, that is unintended interface.</t>
        </is>
      </c>
      <c r="E852" s="45" t="inlineStr">
        <is>
          <t>• Memory / corruption of content*
– “wild pointers“ (including program counter stack)
内存/内容损坏*
——“失控指针”（包括程序计数器栈</t>
        </is>
      </c>
      <c r="F852" s="45" t="inlineStr">
        <is>
          <t xml:space="preserve">Yes </t>
        </is>
      </c>
      <c r="G852" s="54" t="inlineStr">
        <is>
          <t>CAN解析模块故障后无法传递CAN原始信号给BCC模块进行报文校验，违背安全目标SG01,SG02,SG03
CAN解析模块故障后无法传递网络管理信号给网络管理模块进行网络状态处理，不违背安全目标</t>
        </is>
      </c>
      <c r="H852" s="47" t="inlineStr">
        <is>
          <t>1：支持硬线制动灯点亮：
2：支持外部看门狗
3：报文校验失败后会点亮制动灯</t>
        </is>
      </c>
      <c r="I852" s="47" t="inlineStr">
        <is>
          <t>SW_DFA_SM_001 
SW_DFA_SM_004 SW_DFA_SM_005</t>
        </is>
      </c>
      <c r="J852" s="48" t="inlineStr">
        <is>
          <t>通过集成测试</t>
        </is>
      </c>
      <c r="K852" s="49" t="inlineStr">
        <is>
          <t>满足ASILB开发和测试</t>
        </is>
      </c>
      <c r="L852" s="49" t="n"/>
      <c r="M852" s="49" t="n"/>
    </row>
    <row r="853" outlineLevel="1" ht="100" customFormat="1" customHeight="1" s="36">
      <c r="A853" s="37">
        <f>A821&amp;"_"&amp;B853</f>
        <v/>
      </c>
      <c r="B853" s="42" t="n">
        <v>31</v>
      </c>
      <c r="C853" s="185" t="n"/>
      <c r="D853" s="185" t="n"/>
      <c r="E853" s="45" t="inlineStr">
        <is>
          <t>– memory mis-allocation
——内存分配错误</t>
        </is>
      </c>
      <c r="F853" s="45" t="inlineStr">
        <is>
          <t xml:space="preserve">Yes </t>
        </is>
      </c>
      <c r="G853" s="54" t="inlineStr">
        <is>
          <t>CAN解析模块故障后无法传递CAN原始信号给BCC模块进行报文校验，违背安全目标SG01,SG02,SG03
CAN解析模块故障后无法传递网络管理信号给网络管理模块进行网络状态处理，不违背安全目标</t>
        </is>
      </c>
      <c r="H853" s="47" t="inlineStr">
        <is>
          <t>1：支持硬线制动灯点亮：
2：支持外部看门狗
3：报文校验失败后会点亮制动灯</t>
        </is>
      </c>
      <c r="I853" s="47" t="inlineStr">
        <is>
          <t>SW_DFA_SM_001 
SW_DFA_SM_004 SW_DFA_SM_005</t>
        </is>
      </c>
      <c r="J853" s="48" t="inlineStr">
        <is>
          <t>通过集成测试</t>
        </is>
      </c>
      <c r="K853" s="49" t="inlineStr">
        <is>
          <t>满足ASILB开发和测试</t>
        </is>
      </c>
      <c r="L853" s="49" t="n"/>
      <c r="M853" s="49" t="n"/>
    </row>
    <row r="854" outlineLevel="1" ht="100" customFormat="1" customHeight="1" s="36">
      <c r="A854" s="37">
        <f>A821&amp;"_"&amp;B854</f>
        <v/>
      </c>
      <c r="B854" s="50" t="n">
        <v>32</v>
      </c>
      <c r="C854" s="185" t="n"/>
      <c r="D854" s="185" t="n"/>
      <c r="E854" s="45" t="inlineStr">
        <is>
          <t>– memory leaks
内存泄漏</t>
        </is>
      </c>
      <c r="F854" s="45" t="inlineStr">
        <is>
          <t xml:space="preserve">Yes </t>
        </is>
      </c>
      <c r="G854" s="54" t="inlineStr">
        <is>
          <t>CAN解析模块故障后无法传递CAN原始信号给BCC模块进行报文校验，违背安全目标SG01,SG02,SG03
CAN解析模块故障后无法传递网络管理信号给网络管理模块进行网络状态处理，不违背安全目标</t>
        </is>
      </c>
      <c r="H854" s="47" t="inlineStr">
        <is>
          <t>1：支持硬线制动灯点亮：
2：支持外部看门狗
3：报文校验失败后会点亮制动灯</t>
        </is>
      </c>
      <c r="I854" s="47" t="inlineStr">
        <is>
          <t>SW_DFA_SM_001 
SW_DFA_SM_004 SW_DFA_SM_005</t>
        </is>
      </c>
      <c r="J854" s="48" t="inlineStr">
        <is>
          <t>通过集成测试</t>
        </is>
      </c>
      <c r="K854" s="49" t="inlineStr">
        <is>
          <t>满足ASILB开发和测试</t>
        </is>
      </c>
      <c r="L854" s="49" t="n"/>
      <c r="M854" s="49" t="n"/>
    </row>
    <row r="855" outlineLevel="1" ht="58" customFormat="1" customHeight="1" s="36">
      <c r="A855" s="37">
        <f>A821&amp;"_"&amp;B855</f>
        <v/>
      </c>
      <c r="B855" s="42" t="n">
        <v>33</v>
      </c>
      <c r="C855" s="185" t="n"/>
      <c r="D855" s="185" t="n"/>
      <c r="E855" s="45" t="inlineStr">
        <is>
          <t>– read/write access to memory allocated to another software element*
—— 对分配给其他软件组件的内存的读/写访问权限*</t>
        </is>
      </c>
      <c r="F855" s="53" t="inlineStr">
        <is>
          <t>not applicable</t>
        </is>
      </c>
      <c r="G855" s="55" t="n"/>
      <c r="H855" s="47" t="n"/>
      <c r="I855" s="47" t="n"/>
      <c r="J855" s="49" t="n"/>
      <c r="K855" s="49" t="n"/>
      <c r="L855" s="49" t="n"/>
      <c r="M855" s="49" t="n"/>
    </row>
    <row r="856" outlineLevel="1" ht="29" customFormat="1" customHeight="1" s="36">
      <c r="A856" s="37">
        <f>A821&amp;"_"&amp;B856</f>
        <v/>
      </c>
      <c r="B856" s="50" t="n">
        <v>34</v>
      </c>
      <c r="C856" s="185" t="n"/>
      <c r="D856" s="185" t="n"/>
      <c r="E856" s="45" t="inlineStr">
        <is>
          <t>– buffer under-/overflow
– 缓冲区下溢/上溢</t>
        </is>
      </c>
      <c r="F856" s="53" t="inlineStr">
        <is>
          <t>not applicable</t>
        </is>
      </c>
      <c r="G856" s="55" t="n"/>
      <c r="H856" s="47" t="n"/>
      <c r="I856" s="47" t="n"/>
      <c r="J856" s="49" t="n"/>
      <c r="K856" s="49" t="n"/>
      <c r="L856" s="49" t="n"/>
      <c r="M856" s="49" t="n"/>
    </row>
    <row r="857" outlineLevel="1" ht="57.5" customFormat="1" customHeight="1" s="36">
      <c r="A857" s="37">
        <f>A821&amp;"_"&amp;B857</f>
        <v/>
      </c>
      <c r="B857" s="42" t="n">
        <v>35</v>
      </c>
      <c r="C857" s="185" t="n"/>
      <c r="D857" s="185" t="n"/>
      <c r="E857" s="45" t="inlineStr">
        <is>
          <t>• Timing and execution
– deadlocks*
时机与执行
——死锁*</t>
        </is>
      </c>
      <c r="F857" s="53" t="inlineStr">
        <is>
          <t>not applicable</t>
        </is>
      </c>
      <c r="G857" s="55" t="n"/>
      <c r="H857" s="47" t="n"/>
      <c r="I857" s="47" t="n"/>
      <c r="J857" s="49" t="n"/>
      <c r="K857" s="49" t="n"/>
      <c r="L857" s="49" t="n"/>
      <c r="M857" s="49" t="n"/>
    </row>
    <row r="858" outlineLevel="1" ht="28.5" customFormat="1" customHeight="1" s="36">
      <c r="A858" s="37">
        <f>A821&amp;"_"&amp;B858</f>
        <v/>
      </c>
      <c r="B858" s="50" t="n">
        <v>36</v>
      </c>
      <c r="C858" s="185" t="n"/>
      <c r="D858" s="185" t="n"/>
      <c r="E858" s="45" t="inlineStr">
        <is>
          <t>– livelocks*
活锁</t>
        </is>
      </c>
      <c r="F858" s="53" t="inlineStr">
        <is>
          <t>not applicable</t>
        </is>
      </c>
      <c r="G858" s="55" t="n"/>
      <c r="H858" s="47" t="n"/>
      <c r="I858" s="47" t="n"/>
      <c r="J858" s="49" t="n"/>
      <c r="K858" s="49" t="n"/>
      <c r="L858" s="49" t="n"/>
      <c r="M858" s="49" t="n"/>
    </row>
    <row r="859" outlineLevel="1" ht="29" customFormat="1" customHeight="1" s="36">
      <c r="A859" s="37">
        <f>A821&amp;"_"&amp;B859</f>
        <v/>
      </c>
      <c r="B859" s="42" t="n">
        <v>37</v>
      </c>
      <c r="C859" s="185" t="n"/>
      <c r="D859" s="185" t="n"/>
      <c r="E859" s="45" t="inlineStr">
        <is>
          <t>– incorrect allocation of execution time*
——执行时间分配不当*</t>
        </is>
      </c>
      <c r="F859" s="53" t="inlineStr">
        <is>
          <t>not applicable</t>
        </is>
      </c>
      <c r="G859" s="55" t="n"/>
      <c r="H859" s="47" t="n"/>
      <c r="I859" s="47" t="n"/>
      <c r="J859" s="49" t="n"/>
      <c r="K859" s="49" t="n"/>
      <c r="L859" s="49" t="n"/>
      <c r="M859" s="49" t="n"/>
    </row>
    <row r="860" outlineLevel="1" ht="43.5" customFormat="1" customHeight="1" s="36">
      <c r="A860" s="37">
        <f>A821&amp;"_"&amp;B860</f>
        <v/>
      </c>
      <c r="B860" s="50" t="n">
        <v>38</v>
      </c>
      <c r="C860" s="186" t="n"/>
      <c r="D860" s="186" t="n"/>
      <c r="E860" s="45" t="inlineStr">
        <is>
          <t>– incorrect synchronization between software elements*
——软件各组成部分之间的同步不正确*</t>
        </is>
      </c>
      <c r="F860" s="53" t="inlineStr">
        <is>
          <t>not applicable</t>
        </is>
      </c>
      <c r="G860" s="46" t="n"/>
      <c r="H860" s="47" t="n"/>
      <c r="I860" s="47" t="n"/>
      <c r="J860" s="48" t="n"/>
      <c r="K860" s="49" t="n"/>
      <c r="L860" s="49" t="n"/>
      <c r="M860" s="49" t="n"/>
    </row>
    <row r="861" outlineLevel="1" ht="72" customFormat="1" customHeight="1" s="36">
      <c r="A861" s="37">
        <f>A821&amp;"_"&amp;B861</f>
        <v/>
      </c>
      <c r="B861" s="42" t="n">
        <v>39</v>
      </c>
      <c r="C861" s="187" t="inlineStr">
        <is>
          <t>Systematic coupling</t>
        </is>
      </c>
      <c r="D861" s="187" t="inlineStr">
        <is>
          <t>Systematic causes from human or tool errors can lead to the simultaneous failure of more than one function</t>
        </is>
      </c>
      <c r="E861" s="45" t="inlineStr">
        <is>
          <t>• Manufacturing fault / repair fault (e.g. false flashing, false calibration reference for sensors)
制造故障/维修故障（例如：错误的闪烁现象、传感器的错误校准参考值）</t>
        </is>
      </c>
      <c r="F861" s="53" t="inlineStr">
        <is>
          <t>not applicable</t>
        </is>
      </c>
      <c r="G861" s="55" t="n"/>
      <c r="H861" s="47" t="n"/>
      <c r="I861" s="47" t="n"/>
      <c r="J861" s="49" t="n"/>
      <c r="K861" s="49" t="n"/>
      <c r="L861" s="49" t="n"/>
      <c r="M861" s="49" t="n"/>
    </row>
    <row r="862" outlineLevel="1" ht="115.5" customFormat="1" customHeight="1" s="36">
      <c r="A862" s="37">
        <f>A821&amp;"_"&amp;B862</f>
        <v/>
      </c>
      <c r="B862" s="50" t="n">
        <v>40</v>
      </c>
      <c r="C862" s="185" t="n"/>
      <c r="D862" s="185" t="n"/>
      <c r="E862" s="61" t="inlineStr">
        <is>
          <t xml:space="preserve">• Non-diverse development approaches including:
– same software tools (e.g. IDE, compiler, linker)
非多元化的发展方式包括：
——相同的软件工具（例如集成开发环境、编译器、链接器）
</t>
        </is>
      </c>
      <c r="F862" s="45" t="inlineStr">
        <is>
          <t xml:space="preserve">Yes </t>
        </is>
      </c>
      <c r="G862" s="62" t="inlineStr">
        <is>
          <t>代码异常导致的违背安全目标</t>
        </is>
      </c>
      <c r="H862" s="63" t="inlineStr">
        <is>
          <t>工具鉴定</t>
        </is>
      </c>
      <c r="I862" s="63" t="n"/>
      <c r="J862" s="49" t="inlineStr">
        <is>
          <t>通过集成测试</t>
        </is>
      </c>
      <c r="K862" s="68" t="inlineStr">
        <is>
          <t>满足ASILB开发和测试</t>
        </is>
      </c>
      <c r="L862" s="68" t="n"/>
      <c r="M862" s="49" t="n"/>
    </row>
    <row r="863" outlineLevel="1" ht="100" customFormat="1" customHeight="1" s="36">
      <c r="A863" s="37">
        <f>A821&amp;"_"&amp;B863</f>
        <v/>
      </c>
      <c r="B863" s="42" t="n">
        <v>41</v>
      </c>
      <c r="C863" s="185" t="n"/>
      <c r="D863" s="185" t="n"/>
      <c r="E863" s="61" t="inlineStr">
        <is>
          <t>– same algorithms
相同的算法</t>
        </is>
      </c>
      <c r="F863" s="45" t="inlineStr">
        <is>
          <t xml:space="preserve">Yes </t>
        </is>
      </c>
      <c r="G863" s="54" t="inlineStr">
        <is>
          <t>CAN解析模块故障后无法传递CAN原始信号给BCC模块进行报文校验，违背安全目标SG01,SG02,SG03
CAN解析模块故障后无法传递网络管理信号给网络管理模块进行网络状态处理，不违背安全目标</t>
        </is>
      </c>
      <c r="H863" s="47" t="inlineStr">
        <is>
          <t>1：支持硬线制动灯点亮：
2：报文校验失败后会点亮制动灯</t>
        </is>
      </c>
      <c r="I863" s="47" t="inlineStr">
        <is>
          <t>SW_DFA_SM_001 
SW_DFA_SM_005</t>
        </is>
      </c>
      <c r="J863" s="48" t="inlineStr">
        <is>
          <t>通过集成测试</t>
        </is>
      </c>
      <c r="K863" s="49" t="inlineStr">
        <is>
          <t>满足ASILB开发和测试</t>
        </is>
      </c>
      <c r="L863" s="49" t="n"/>
      <c r="M863" s="49" t="n"/>
    </row>
    <row r="864" outlineLevel="1" ht="43.5" customFormat="1" customHeight="1" s="36">
      <c r="A864" s="37">
        <f>A821&amp;"_"&amp;B864</f>
        <v/>
      </c>
      <c r="B864" s="50" t="n">
        <v>42</v>
      </c>
      <c r="C864" s="185" t="n"/>
      <c r="D864" s="185" t="n"/>
      <c r="E864" s="61" t="inlineStr">
        <is>
          <t>– same programming and/or modelling language used
所使用的编程和/或建模语言相同</t>
        </is>
      </c>
      <c r="F864" s="45" t="inlineStr">
        <is>
          <t xml:space="preserve">Yes </t>
        </is>
      </c>
      <c r="G864" s="62" t="inlineStr">
        <is>
          <t>代码异常导致的违背安全目标</t>
        </is>
      </c>
      <c r="H864" s="63" t="inlineStr">
        <is>
          <t>工具鉴定</t>
        </is>
      </c>
      <c r="I864" s="47" t="n"/>
      <c r="J864" s="49" t="inlineStr">
        <is>
          <t>通过集成测试</t>
        </is>
      </c>
      <c r="K864" s="49" t="inlineStr">
        <is>
          <t>满足ASILB开发和测试</t>
        </is>
      </c>
      <c r="L864" s="49" t="n"/>
      <c r="M864" s="49" t="n"/>
    </row>
    <row r="865" outlineLevel="1" ht="29" customFormat="1" customHeight="1" s="36">
      <c r="A865" s="37">
        <f>A821&amp;"_"&amp;B865</f>
        <v/>
      </c>
      <c r="B865" s="42" t="n">
        <v>43</v>
      </c>
      <c r="C865" s="185" t="n"/>
      <c r="D865" s="185" t="n"/>
      <c r="E865" s="61" t="inlineStr">
        <is>
          <t>– same complier/linker used
使用的是相同的编译器/链接器</t>
        </is>
      </c>
      <c r="F865" s="45" t="inlineStr">
        <is>
          <t xml:space="preserve">Yes </t>
        </is>
      </c>
      <c r="G865" s="62" t="inlineStr">
        <is>
          <t>代码异常导致的违背安全目标</t>
        </is>
      </c>
      <c r="H865" s="63" t="inlineStr">
        <is>
          <t>工具鉴定</t>
        </is>
      </c>
      <c r="I865" s="47" t="n"/>
      <c r="J865" s="49" t="inlineStr">
        <is>
          <t>通过集成测试</t>
        </is>
      </c>
      <c r="K865" s="49" t="inlineStr">
        <is>
          <t>满足ASILB开发和测试</t>
        </is>
      </c>
      <c r="L865" s="49" t="n"/>
      <c r="M865" s="49" t="n"/>
    </row>
    <row r="866" outlineLevel="1" ht="28.5" customFormat="1" customHeight="1" s="36">
      <c r="A866" s="37">
        <f>A821&amp;"_"&amp;B866</f>
        <v/>
      </c>
      <c r="B866" s="50" t="n">
        <v>44</v>
      </c>
      <c r="C866" s="185" t="n"/>
      <c r="D866" s="185" t="n"/>
      <c r="E866" s="45" t="inlineStr">
        <is>
          <t>• Same personnel
相同人员</t>
        </is>
      </c>
      <c r="F866" s="53" t="inlineStr">
        <is>
          <t>not applicable</t>
        </is>
      </c>
      <c r="G866" s="55" t="n"/>
      <c r="H866" s="47" t="n"/>
      <c r="I866" s="47" t="n"/>
      <c r="J866" s="49" t="n"/>
      <c r="K866" s="49" t="n"/>
      <c r="L866" s="49" t="n"/>
      <c r="M866" s="49" t="n"/>
    </row>
    <row r="867" outlineLevel="1" ht="57" customFormat="1" customHeight="1" s="36">
      <c r="A867" s="37">
        <f>A821&amp;"_"&amp;B867</f>
        <v/>
      </c>
      <c r="B867" s="42" t="n">
        <v>45</v>
      </c>
      <c r="C867" s="185" t="n"/>
      <c r="D867" s="185" t="n"/>
      <c r="E867" s="45" t="inlineStr">
        <is>
          <t>• Same social-cultural context (even if different personnel)
相同的社会文化背景（即便人员有所不同）</t>
        </is>
      </c>
      <c r="F867" s="53" t="inlineStr">
        <is>
          <t>not applicable</t>
        </is>
      </c>
      <c r="G867" s="55" t="n"/>
      <c r="H867" s="47" t="n"/>
      <c r="I867" s="47" t="n"/>
      <c r="J867" s="49" t="n"/>
      <c r="K867" s="49" t="n"/>
      <c r="L867" s="49" t="n"/>
      <c r="M867" s="49" t="n"/>
    </row>
    <row r="868" outlineLevel="1" ht="57.5" customFormat="1" customHeight="1" s="36">
      <c r="A868" s="37">
        <f>A821&amp;"_"&amp;B868</f>
        <v/>
      </c>
      <c r="B868" s="50" t="n">
        <v>46</v>
      </c>
      <c r="C868" s="185" t="n"/>
      <c r="D868" s="185" t="n"/>
      <c r="E868" s="45" t="inlineStr">
        <is>
          <t>• Development fault, e.g.
– human error
开发失误，例如：
– 人为错误</t>
        </is>
      </c>
      <c r="F868" s="53" t="inlineStr">
        <is>
          <t>not applicable</t>
        </is>
      </c>
      <c r="G868" s="55" t="n"/>
      <c r="H868" s="47" t="n"/>
      <c r="I868" s="47" t="n"/>
      <c r="J868" s="49" t="n"/>
      <c r="K868" s="49" t="n"/>
      <c r="L868" s="49" t="n"/>
      <c r="M868" s="49" t="n"/>
    </row>
    <row r="869" outlineLevel="1" ht="28.5" customFormat="1" customHeight="1" s="36">
      <c r="A869" s="37">
        <f>A821&amp;"_"&amp;B869</f>
        <v/>
      </c>
      <c r="B869" s="42" t="n">
        <v>47</v>
      </c>
      <c r="C869" s="185" t="n"/>
      <c r="D869" s="185" t="n"/>
      <c r="E869" s="45" t="inlineStr">
        <is>
          <t>– insufficiently qualified personnel
资质不足的人员</t>
        </is>
      </c>
      <c r="F869" s="53" t="inlineStr">
        <is>
          <t>not applicable</t>
        </is>
      </c>
      <c r="G869" s="55" t="n"/>
      <c r="H869" s="47" t="n"/>
      <c r="I869" s="47" t="n"/>
      <c r="J869" s="49" t="n"/>
      <c r="K869" s="49" t="n"/>
      <c r="L869" s="49" t="n"/>
      <c r="M869" s="49" t="n"/>
    </row>
    <row r="870" outlineLevel="1" ht="28.5" customFormat="1" customHeight="1" s="36">
      <c r="A870" s="37">
        <f>A821&amp;"_"&amp;B870</f>
        <v/>
      </c>
      <c r="B870" s="50" t="n">
        <v>48</v>
      </c>
      <c r="C870" s="185" t="n"/>
      <c r="D870" s="185" t="n"/>
      <c r="E870" s="45" t="inlineStr">
        <is>
          <t>– process weaknesses
处理弱点</t>
        </is>
      </c>
      <c r="F870" s="53" t="inlineStr">
        <is>
          <t>not applicable</t>
        </is>
      </c>
      <c r="G870" s="55" t="n"/>
      <c r="H870" s="47" t="n"/>
      <c r="I870" s="47" t="n"/>
      <c r="J870" s="49" t="n"/>
      <c r="K870" s="49" t="n"/>
      <c r="L870" s="49" t="n"/>
      <c r="M870" s="49" t="n"/>
    </row>
    <row r="871" outlineLevel="1" ht="26" customFormat="1" customHeight="1" s="36">
      <c r="A871" s="37">
        <f>A821&amp;"_"&amp;B871</f>
        <v/>
      </c>
      <c r="B871" s="42" t="n">
        <v>49</v>
      </c>
      <c r="C871" s="186" t="n"/>
      <c r="D871" s="186" t="n"/>
      <c r="E871" s="45" t="inlineStr">
        <is>
          <t>– insufficient methods方法不足</t>
        </is>
      </c>
      <c r="F871" s="53" t="inlineStr">
        <is>
          <t>not applicable</t>
        </is>
      </c>
      <c r="G871" s="55" t="n"/>
      <c r="H871" s="47" t="n"/>
      <c r="I871" s="47" t="n"/>
      <c r="J871" s="49" t="n"/>
      <c r="K871" s="49" t="n"/>
      <c r="L871" s="49" t="n"/>
      <c r="M871" s="49" t="n"/>
    </row>
    <row r="872" ht="75" customFormat="1" customHeight="1" s="36">
      <c r="A872" s="67">
        <f>'Top Event'!B21</f>
        <v/>
      </c>
      <c r="B872" s="67" t="n"/>
      <c r="C872" s="67">
        <f>'Top Event'!C21</f>
        <v/>
      </c>
      <c r="D872" s="69">
        <f>'Top Event'!D21</f>
        <v/>
      </c>
      <c r="E872" s="67">
        <f>'Top Event'!E21</f>
        <v/>
      </c>
      <c r="F872" s="66" t="n"/>
      <c r="G872" s="66" t="n"/>
      <c r="H872" s="64" t="n"/>
      <c r="I872" s="64" t="n"/>
      <c r="J872" s="36" t="n"/>
      <c r="K872" s="36" t="n"/>
      <c r="L872" s="36" t="n"/>
      <c r="M872" s="36" t="n"/>
    </row>
    <row r="873" ht="37.25" customFormat="1" customHeight="1" s="36">
      <c r="A873" s="37" t="n"/>
      <c r="B873" s="37" t="n"/>
      <c r="C873" s="38" t="inlineStr">
        <is>
          <t>DF-I Category</t>
        </is>
      </c>
      <c r="D873" s="38" t="inlineStr">
        <is>
          <t>Interpretation</t>
        </is>
      </c>
      <c r="E873" s="38" t="inlineStr">
        <is>
          <t>DF-Initiator Examples</t>
        </is>
      </c>
      <c r="F873" s="38" t="inlineStr">
        <is>
          <t>Applicable?</t>
        </is>
      </c>
      <c r="G873" s="38" t="inlineStr">
        <is>
          <t>safety  goal related</t>
        </is>
      </c>
      <c r="H873" s="39" t="inlineStr">
        <is>
          <t>Counter Measure</t>
        </is>
      </c>
      <c r="I873" s="39" t="inlineStr">
        <is>
          <t>Counter Measure ID</t>
        </is>
      </c>
      <c r="J873" s="38" t="inlineStr">
        <is>
          <t>Evidence</t>
        </is>
      </c>
      <c r="K873" s="38" t="inlineStr">
        <is>
          <t>sufficient?</t>
        </is>
      </c>
      <c r="L873" s="38" t="n"/>
      <c r="M873" s="41" t="inlineStr">
        <is>
          <t>Comment</t>
        </is>
      </c>
    </row>
    <row r="874" outlineLevel="1" ht="86" customFormat="1" customHeight="1" s="36">
      <c r="A874" s="37">
        <f>A872&amp;"_"&amp;B874</f>
        <v/>
      </c>
      <c r="B874" s="42" t="n">
        <v>1</v>
      </c>
      <c r="C874" s="183" t="inlineStr">
        <is>
          <t>Shared resource</t>
        </is>
      </c>
      <c r="D874" s="184" t="inlineStr">
        <is>
          <t>The same software, hardware, or system element instance used by the two elements which are therefore affected by the failure or unavailability of that shared resource, i.e. from a physical perspective.</t>
        </is>
      </c>
      <c r="E874" s="45" t="inlineStr">
        <is>
          <t>Software component used by more than one other software component, e.g.
– reused standard software modules
被多个其他软件组件所使用的软件组件，例如：
– 重复使用的标准软件模块</t>
        </is>
      </c>
      <c r="F874" s="45" t="inlineStr">
        <is>
          <t xml:space="preserve">Yes </t>
        </is>
      </c>
      <c r="G874" s="54" t="inlineStr">
        <is>
          <t>CAN传输组包模块失效后无法传递灯具的CAN信号给CAN模块对外发送反馈功能故障信号，违背安全目标SG01，SG02.SG03</t>
        </is>
      </c>
      <c r="H874" s="47" t="inlineStr">
        <is>
          <t>1：支持外部看门狗</t>
        </is>
      </c>
      <c r="I874" s="47" t="inlineStr">
        <is>
          <t>SW_DFA_SM_004</t>
        </is>
      </c>
      <c r="J874" s="48" t="inlineStr">
        <is>
          <t>通过集成测试</t>
        </is>
      </c>
      <c r="K874" s="49" t="inlineStr">
        <is>
          <t>满足ASILB开发和测试</t>
        </is>
      </c>
      <c r="L874" s="49" t="n"/>
      <c r="M874" s="49" t="n"/>
    </row>
    <row r="875" outlineLevel="1" ht="28.5" customFormat="1" customHeight="1" s="36">
      <c r="A875" s="37">
        <f>A872&amp;"_"&amp;B875</f>
        <v/>
      </c>
      <c r="B875" s="50" t="n">
        <v>2</v>
      </c>
      <c r="C875" s="185" t="n"/>
      <c r="D875" s="185" t="n"/>
      <c r="E875" s="45" t="inlineStr">
        <is>
          <t>– libraries
库</t>
        </is>
      </c>
      <c r="F875" s="53" t="inlineStr">
        <is>
          <t>not applicable</t>
        </is>
      </c>
      <c r="G875" s="55" t="n"/>
      <c r="H875" s="47" t="n"/>
      <c r="I875" s="47" t="n"/>
      <c r="J875" s="49" t="n"/>
      <c r="K875" s="49" t="n"/>
      <c r="L875" s="49" t="n"/>
      <c r="M875" s="49" t="n"/>
    </row>
    <row r="876" outlineLevel="1" ht="28.5" customFormat="1" customHeight="1" s="36">
      <c r="A876" s="37">
        <f>A872&amp;"_"&amp;B876</f>
        <v/>
      </c>
      <c r="B876" s="42" t="n">
        <v>3</v>
      </c>
      <c r="C876" s="185" t="n"/>
      <c r="D876" s="185" t="n"/>
      <c r="E876" s="45" t="inlineStr">
        <is>
          <t>– middleware
中间件</t>
        </is>
      </c>
      <c r="F876" s="53" t="inlineStr">
        <is>
          <t>not applicable</t>
        </is>
      </c>
      <c r="G876" s="55" t="n"/>
      <c r="H876" s="47" t="n"/>
      <c r="I876" s="47" t="n"/>
      <c r="J876" s="49" t="n"/>
      <c r="K876" s="49" t="n"/>
      <c r="L876" s="49" t="n"/>
      <c r="M876" s="49" t="n"/>
    </row>
    <row r="877" outlineLevel="1" ht="28.5" customFormat="1" customHeight="1" s="36">
      <c r="A877" s="37">
        <f>A872&amp;"_"&amp;B877</f>
        <v/>
      </c>
      <c r="B877" s="50" t="n">
        <v>4</v>
      </c>
      <c r="C877" s="185" t="n"/>
      <c r="D877" s="185" t="n"/>
      <c r="E877" s="45" t="inlineStr">
        <is>
          <t>– basic software
基本软件</t>
        </is>
      </c>
      <c r="F877" s="53" t="inlineStr">
        <is>
          <t>not applicable</t>
        </is>
      </c>
      <c r="G877" s="46" t="n"/>
      <c r="H877" s="47" t="n"/>
      <c r="I877" s="47" t="n"/>
      <c r="J877" s="48" t="n"/>
      <c r="K877" s="49" t="n"/>
      <c r="L877" s="49" t="n"/>
      <c r="M877" s="49" t="n"/>
    </row>
    <row r="878" outlineLevel="1" ht="43.5" customFormat="1" customHeight="1" s="36">
      <c r="A878" s="37">
        <f>A872&amp;"_"&amp;B878</f>
        <v/>
      </c>
      <c r="B878" s="42" t="n">
        <v>5</v>
      </c>
      <c r="C878" s="185" t="n"/>
      <c r="D878" s="185" t="n"/>
      <c r="E878" s="45" t="inlineStr">
        <is>
          <t xml:space="preserve">– operating system including scheduler
——包含调度器的操作系统
</t>
        </is>
      </c>
      <c r="F878" s="53" t="inlineStr">
        <is>
          <t>not applicable</t>
        </is>
      </c>
      <c r="G878" s="55" t="n"/>
      <c r="H878" s="47" t="n"/>
      <c r="I878" s="47" t="n"/>
      <c r="J878" s="49" t="n"/>
      <c r="K878" s="49" t="n"/>
      <c r="L878" s="49" t="n"/>
      <c r="M878" s="49" t="n"/>
    </row>
    <row r="879" outlineLevel="1" ht="28.5" customFormat="1" customHeight="1" s="36">
      <c r="A879" s="37">
        <f>A872&amp;"_"&amp;B879</f>
        <v/>
      </c>
      <c r="B879" s="50" t="n">
        <v>6</v>
      </c>
      <c r="C879" s="185" t="n"/>
      <c r="D879" s="185" t="n"/>
      <c r="E879" s="45" t="inlineStr">
        <is>
          <t>– communication stack
通信协议栈</t>
        </is>
      </c>
      <c r="F879" s="53" t="inlineStr">
        <is>
          <t>not applicable</t>
        </is>
      </c>
      <c r="G879" s="46" t="n"/>
      <c r="H879" s="47" t="n"/>
      <c r="I879" s="47" t="n"/>
      <c r="J879" s="48" t="n"/>
      <c r="K879" s="49" t="n"/>
      <c r="L879" s="49" t="n"/>
      <c r="M879" s="49" t="n"/>
    </row>
    <row r="880" outlineLevel="1" ht="29" customFormat="1" customHeight="1" s="36">
      <c r="A880" s="37">
        <f>A872&amp;"_"&amp;B880</f>
        <v/>
      </c>
      <c r="B880" s="42" t="n">
        <v>7</v>
      </c>
      <c r="C880" s="185" t="n"/>
      <c r="D880" s="185" t="n"/>
      <c r="E880" s="45" t="inlineStr">
        <is>
          <t xml:space="preserve">– parameter file参数文件
</t>
        </is>
      </c>
      <c r="F880" s="53" t="inlineStr">
        <is>
          <t>not applicable</t>
        </is>
      </c>
      <c r="G880" s="55" t="n"/>
      <c r="H880" s="47" t="n"/>
      <c r="I880" s="47" t="n"/>
      <c r="J880" s="49" t="n"/>
      <c r="K880" s="49" t="n"/>
      <c r="L880" s="49" t="n"/>
      <c r="M880" s="49" t="n"/>
    </row>
    <row r="881" outlineLevel="1" ht="28.5" customFormat="1" customHeight="1" s="36">
      <c r="A881" s="37">
        <f>A872&amp;"_"&amp;B881</f>
        <v/>
      </c>
      <c r="B881" s="50" t="n">
        <v>8</v>
      </c>
      <c r="C881" s="185" t="n"/>
      <c r="D881" s="185" t="n"/>
      <c r="E881" s="45" t="inlineStr">
        <is>
          <t>– execution time
执行时间</t>
        </is>
      </c>
      <c r="F881" s="53" t="inlineStr">
        <is>
          <t>not applicable</t>
        </is>
      </c>
      <c r="G881" s="55" t="n"/>
      <c r="H881" s="47" t="n"/>
      <c r="I881" s="47" t="n"/>
      <c r="J881" s="49" t="n"/>
      <c r="K881" s="49" t="n"/>
      <c r="L881" s="49" t="n"/>
      <c r="M881" s="49" t="n"/>
    </row>
    <row r="882" outlineLevel="1" ht="26" customFormat="1" customHeight="1" s="36">
      <c r="A882" s="37">
        <f>A872&amp;"_"&amp;B882</f>
        <v/>
      </c>
      <c r="B882" s="42" t="n">
        <v>9</v>
      </c>
      <c r="C882" s="186" t="n"/>
      <c r="D882" s="186" t="n"/>
      <c r="E882" s="45" t="inlineStr">
        <is>
          <t>– allocated memory</t>
        </is>
      </c>
      <c r="F882" s="53" t="inlineStr">
        <is>
          <t>not applicable</t>
        </is>
      </c>
      <c r="G882" s="55" t="n"/>
      <c r="H882" s="47" t="n"/>
      <c r="I882" s="47" t="n"/>
      <c r="J882" s="49" t="n"/>
      <c r="K882" s="49" t="n"/>
      <c r="L882" s="49" t="n"/>
      <c r="M882" s="49" t="n"/>
    </row>
    <row r="883" outlineLevel="1" ht="28.5" customFormat="1" customHeight="1" s="36">
      <c r="A883" s="37">
        <f>A872&amp;"_"&amp;B883</f>
        <v/>
      </c>
      <c r="B883" s="50" t="n">
        <v>10</v>
      </c>
      <c r="C883" s="187" t="inlineStr">
        <is>
          <t>Components of
identical type</t>
        </is>
      </c>
      <c r="D883" s="187" t="inlineStr">
        <is>
          <t>Identical components may fail with higher probability simultaneously (common mode failures)</t>
        </is>
      </c>
      <c r="E883" s="45" t="inlineStr">
        <is>
          <t>• Reused standard software modules
重复使用的标准软件模块</t>
        </is>
      </c>
      <c r="F883" s="53" t="inlineStr">
        <is>
          <t>not applicable</t>
        </is>
      </c>
      <c r="G883" s="46" t="n"/>
      <c r="H883" s="47" t="n"/>
      <c r="I883" s="47" t="n"/>
      <c r="J883" s="48" t="n"/>
      <c r="K883" s="49" t="n"/>
      <c r="L883" s="49" t="n"/>
      <c r="M883" s="49" t="n"/>
    </row>
    <row r="884" outlineLevel="1" ht="28.5" customFormat="1" customHeight="1" s="36">
      <c r="A884" s="37">
        <f>A872&amp;"_"&amp;B884</f>
        <v/>
      </c>
      <c r="B884" s="42" t="n">
        <v>11</v>
      </c>
      <c r="C884" s="185" t="n"/>
      <c r="D884" s="185" t="n"/>
      <c r="E884" s="45" t="inlineStr">
        <is>
          <t>• Standard library components
标准库组件</t>
        </is>
      </c>
      <c r="F884" s="53" t="inlineStr">
        <is>
          <t>not applicable</t>
        </is>
      </c>
      <c r="G884" s="46" t="n"/>
      <c r="H884" s="47" t="n"/>
      <c r="I884" s="47" t="n"/>
      <c r="J884" s="48" t="n"/>
      <c r="K884" s="49" t="n"/>
      <c r="L884" s="49" t="n"/>
      <c r="M884" s="49" t="n"/>
    </row>
    <row r="885" outlineLevel="1" ht="28.5" customFormat="1" customHeight="1" s="36">
      <c r="A885" s="37">
        <f>A872&amp;"_"&amp;B885</f>
        <v/>
      </c>
      <c r="B885" s="50" t="n">
        <v>12</v>
      </c>
      <c r="C885" s="185" t="n"/>
      <c r="D885" s="185" t="n"/>
      <c r="E885" s="45" t="inlineStr">
        <is>
          <t>• Middleware
中间件</t>
        </is>
      </c>
      <c r="F885" s="53" t="inlineStr">
        <is>
          <t>not applicable</t>
        </is>
      </c>
      <c r="G885" s="55" t="n"/>
      <c r="H885" s="47" t="n"/>
      <c r="I885" s="47" t="n"/>
      <c r="J885" s="49" t="n"/>
      <c r="K885" s="49" t="n"/>
      <c r="L885" s="49" t="n"/>
      <c r="M885" s="49" t="n"/>
    </row>
    <row r="886" outlineLevel="1" ht="28.5" customFormat="1" customHeight="1" s="36">
      <c r="A886" s="37">
        <f>A872&amp;"_"&amp;B886</f>
        <v/>
      </c>
      <c r="B886" s="42" t="n">
        <v>13</v>
      </c>
      <c r="C886" s="185" t="n"/>
      <c r="D886" s="185" t="n"/>
      <c r="E886" s="45" t="inlineStr">
        <is>
          <t>• Operating system
操作系统</t>
        </is>
      </c>
      <c r="F886" s="53" t="inlineStr">
        <is>
          <t>not applicable</t>
        </is>
      </c>
      <c r="G886" s="55" t="n"/>
      <c r="H886" s="47" t="n"/>
      <c r="I886" s="47" t="n"/>
      <c r="J886" s="49" t="n"/>
      <c r="K886" s="49" t="n"/>
      <c r="L886" s="49" t="n"/>
      <c r="M886" s="49" t="n"/>
    </row>
    <row r="887" outlineLevel="1" ht="28.5" customFormat="1" customHeight="1" s="36">
      <c r="A887" s="37">
        <f>A872&amp;"_"&amp;B887</f>
        <v/>
      </c>
      <c r="B887" s="50" t="n">
        <v>14</v>
      </c>
      <c r="C887" s="185" t="n"/>
      <c r="D887" s="185" t="n"/>
      <c r="E887" s="45" t="inlineStr">
        <is>
          <t>• Communication stack
通信栈</t>
        </is>
      </c>
      <c r="F887" s="53" t="inlineStr">
        <is>
          <t>not applicable</t>
        </is>
      </c>
      <c r="G887" s="55" t="n"/>
      <c r="H887" s="47" t="n"/>
      <c r="I887" s="47" t="n"/>
      <c r="J887" s="49" t="n"/>
      <c r="K887" s="49" t="n"/>
      <c r="L887" s="49" t="n"/>
      <c r="M887" s="49" t="n"/>
    </row>
    <row r="888" outlineLevel="1" ht="58" customFormat="1" customHeight="1" s="36">
      <c r="A888" s="37">
        <f>A872&amp;"_"&amp;B888</f>
        <v/>
      </c>
      <c r="B888" s="42" t="n">
        <v>15</v>
      </c>
      <c r="C888" s="186" t="n"/>
      <c r="D888" s="186" t="n"/>
      <c r="E888" s="45" t="inlineStr">
        <is>
          <t xml:space="preserve">
• Parameter set
参数设置
</t>
        </is>
      </c>
      <c r="F888" s="53" t="inlineStr">
        <is>
          <t>not applicable</t>
        </is>
      </c>
      <c r="G888" s="55" t="n"/>
      <c r="H888" s="47" t="n"/>
      <c r="I888" s="47" t="n"/>
      <c r="J888" s="49" t="n"/>
      <c r="K888" s="49" t="n"/>
      <c r="L888" s="49" t="n"/>
      <c r="M888" s="49" t="n"/>
    </row>
    <row r="889" outlineLevel="1" ht="100.5" customFormat="1" customHeight="1" s="36">
      <c r="A889" s="37">
        <f>A872&amp;"_"&amp;B889</f>
        <v/>
      </c>
      <c r="B889" s="50" t="n">
        <v>16</v>
      </c>
      <c r="C889" s="187" t="inlineStr">
        <is>
          <t>Communication
between the two
functions</t>
        </is>
      </c>
      <c r="D889" s="184" t="inlineStr">
        <is>
          <t>Receiving function is affected by information that is false, lost, sent multiple times, or in the wrong order etc. from the sender</t>
        </is>
      </c>
      <c r="E889"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889" s="45" t="inlineStr">
        <is>
          <t xml:space="preserve">Yes </t>
        </is>
      </c>
      <c r="G889" s="54" t="inlineStr">
        <is>
          <t>CAN传输组包模块失效后无法传递灯具的CAN信号给CAN模块对外发送反馈功能故障信号，违背安全目标SG01，SG02.SG03</t>
        </is>
      </c>
      <c r="H889" s="47" t="inlineStr">
        <is>
          <t>1：支持外部看门狗</t>
        </is>
      </c>
      <c r="I889" s="47" t="inlineStr">
        <is>
          <t>SW_DFA_SM_004</t>
        </is>
      </c>
      <c r="J889" s="48" t="inlineStr">
        <is>
          <t>通过集成测试</t>
        </is>
      </c>
      <c r="K889" s="49" t="inlineStr">
        <is>
          <t>满足ASILB开发和测试</t>
        </is>
      </c>
      <c r="L889" s="49" t="n"/>
      <c r="M889" s="49" t="n"/>
    </row>
    <row r="890" outlineLevel="1" ht="72.5" customFormat="1" customHeight="1" s="36">
      <c r="A890" s="37">
        <f>A872&amp;"_"&amp;B890</f>
        <v/>
      </c>
      <c r="B890" s="42" t="n">
        <v>17</v>
      </c>
      <c r="C890" s="185" t="n"/>
      <c r="D890" s="185" t="n"/>
      <c r="E890" s="45" t="inlineStr">
        <is>
          <t>• Data or message corruption/ repetition*/ loss*/ delay*/ masquerading or incorrect addressing of information*
数据或信息的损坏/重复/丢失/延迟/伪装或信息的错误标识*</t>
        </is>
      </c>
      <c r="F890" s="53" t="inlineStr">
        <is>
          <t>not applicable</t>
        </is>
      </c>
      <c r="G890" s="55" t="n"/>
      <c r="H890" s="47" t="n"/>
      <c r="I890" s="47" t="n"/>
      <c r="J890" s="49" t="n"/>
      <c r="K890" s="49" t="n"/>
      <c r="L890" s="49" t="n"/>
      <c r="M890" s="49" t="n"/>
    </row>
    <row r="891" outlineLevel="1" ht="49" customFormat="1" customHeight="1" s="36">
      <c r="A891" s="37">
        <f>A872&amp;"_"&amp;B891</f>
        <v/>
      </c>
      <c r="B891" s="50" t="n">
        <v>18</v>
      </c>
      <c r="C891" s="185" t="n"/>
      <c r="D891" s="185" t="n"/>
      <c r="E891" s="45" t="inlineStr">
        <is>
          <t>• Insertion*/ sequence of information*
插入* / 信息序列*</t>
        </is>
      </c>
      <c r="F891" s="53" t="inlineStr">
        <is>
          <t>not applicable</t>
        </is>
      </c>
      <c r="G891" s="55" t="n"/>
      <c r="H891" s="47" t="n"/>
      <c r="I891" s="47" t="n"/>
      <c r="J891" s="49" t="n"/>
      <c r="K891" s="49" t="n"/>
      <c r="L891" s="49" t="n"/>
      <c r="M891" s="49" t="n"/>
    </row>
    <row r="892" outlineLevel="1" ht="48" customFormat="1" customHeight="1" s="36">
      <c r="A892" s="37">
        <f>A872&amp;"_"&amp;B892</f>
        <v/>
      </c>
      <c r="B892" s="42" t="n">
        <v>19</v>
      </c>
      <c r="C892" s="185" t="n"/>
      <c r="D892" s="185" t="n"/>
      <c r="E892" s="45" t="inlineStr">
        <is>
          <t>• Corruption of information*
信息的失真*</t>
        </is>
      </c>
      <c r="F892" s="53" t="inlineStr">
        <is>
          <t>not applicable</t>
        </is>
      </c>
      <c r="G892" s="55" t="n"/>
      <c r="H892" s="47" t="n"/>
      <c r="I892" s="47" t="n"/>
      <c r="J892" s="49" t="n"/>
      <c r="K892" s="49" t="n"/>
      <c r="L892" s="49" t="n"/>
      <c r="M892" s="49" t="n"/>
    </row>
    <row r="893" outlineLevel="1" ht="48" customFormat="1" customHeight="1" s="36">
      <c r="A893" s="37">
        <f>A872&amp;"_"&amp;B893</f>
        <v/>
      </c>
      <c r="B893" s="50" t="n">
        <v>20</v>
      </c>
      <c r="C893" s="185" t="n"/>
      <c r="D893" s="185" t="n"/>
      <c r="E893" s="45" t="inlineStr">
        <is>
          <t>• Asymmetric information sent from a sender to multiple receivers*
从发送者传向多个接收者的不对称信息*</t>
        </is>
      </c>
      <c r="F893" s="53" t="inlineStr">
        <is>
          <t>not applicable</t>
        </is>
      </c>
      <c r="G893" s="55" t="n"/>
      <c r="H893" s="47" t="n"/>
      <c r="I893" s="47" t="n"/>
      <c r="J893" s="49" t="n"/>
      <c r="K893" s="49" t="n"/>
      <c r="L893" s="49" t="n"/>
      <c r="M893" s="49" t="n"/>
    </row>
    <row r="894" outlineLevel="1" ht="48" customFormat="1" customHeight="1" s="36">
      <c r="A894" s="37">
        <f>A872&amp;"_"&amp;B894</f>
        <v/>
      </c>
      <c r="B894" s="42" t="n">
        <v>21</v>
      </c>
      <c r="C894" s="185" t="n"/>
      <c r="D894" s="185" t="n"/>
      <c r="E894" s="45" t="inlineStr">
        <is>
          <t>• Information from a sender received by only a subset of the receivers*
仅部分接收者接收到的来自发送者的信息*</t>
        </is>
      </c>
      <c r="F894" s="53" t="inlineStr">
        <is>
          <t>not applicable</t>
        </is>
      </c>
      <c r="G894" s="55" t="n"/>
      <c r="H894" s="47" t="n"/>
      <c r="I894" s="47" t="n"/>
      <c r="J894" s="49" t="n"/>
      <c r="K894" s="49" t="n"/>
      <c r="L894" s="49" t="n"/>
      <c r="M894" s="49" t="n"/>
    </row>
    <row r="895" outlineLevel="1" ht="43.5" customFormat="1" customHeight="1" s="36">
      <c r="A895" s="37">
        <f>A872&amp;"_"&amp;B895</f>
        <v/>
      </c>
      <c r="B895" s="50" t="n">
        <v>22</v>
      </c>
      <c r="C895" s="186" t="n"/>
      <c r="D895" s="186" t="n"/>
      <c r="E895" s="45" t="inlineStr">
        <is>
          <t>• Blocking access to a communication channel*
阻止对通信通道的访问*</t>
        </is>
      </c>
      <c r="F895" s="53" t="inlineStr">
        <is>
          <t>not applicable</t>
        </is>
      </c>
      <c r="G895" s="46" t="n"/>
      <c r="H895" s="47" t="n"/>
      <c r="I895" s="47" t="n"/>
      <c r="J895" s="48" t="n"/>
      <c r="K895" s="49" t="n"/>
      <c r="L895" s="49" t="n"/>
      <c r="M895" s="49" t="n"/>
    </row>
    <row r="896" outlineLevel="1" ht="45" customFormat="1" customHeight="1" s="36">
      <c r="A896" s="37">
        <f>A872&amp;"_"&amp;B896</f>
        <v/>
      </c>
      <c r="B896" s="42" t="n">
        <v>23</v>
      </c>
      <c r="C896" s="187" t="inlineStr">
        <is>
          <t>Shared information
inputs</t>
        </is>
      </c>
      <c r="D896" s="187" t="inlineStr">
        <is>
          <t>Same information consumed by the two functions even in absence of shared resources, i.e. from a functional perspective</t>
        </is>
      </c>
      <c r="E896" s="45" t="inlineStr">
        <is>
          <t>• Calibration parameters
标准参数</t>
        </is>
      </c>
      <c r="F896" s="53" t="inlineStr">
        <is>
          <t>not applicable</t>
        </is>
      </c>
      <c r="G896" s="55" t="n"/>
      <c r="H896" s="47" t="n"/>
      <c r="I896" s="47" t="n"/>
      <c r="J896" s="49" t="n"/>
      <c r="K896" s="49" t="n"/>
      <c r="L896" s="49" t="n"/>
      <c r="M896" s="49" t="n"/>
    </row>
    <row r="897" outlineLevel="1" ht="57" customFormat="1" customHeight="1" s="36">
      <c r="A897" s="37">
        <f>A872&amp;"_"&amp;B897</f>
        <v/>
      </c>
      <c r="B897" s="50" t="n">
        <v>24</v>
      </c>
      <c r="C897" s="185" t="n"/>
      <c r="D897" s="185" t="n"/>
      <c r="E897" s="45" t="inlineStr">
        <is>
          <t>• Constants, or variables, being global to the two software functions
常量或变量对于这两个软件功能而言是全局性的。</t>
        </is>
      </c>
      <c r="F897" s="53" t="inlineStr">
        <is>
          <t>not applicable</t>
        </is>
      </c>
      <c r="G897" s="46" t="n"/>
      <c r="H897" s="47" t="n"/>
      <c r="I897" s="47" t="n"/>
      <c r="J897" s="48" t="n"/>
      <c r="K897" s="49" t="n"/>
      <c r="L897" s="49" t="n"/>
      <c r="M897" s="49" t="n"/>
    </row>
    <row r="898" outlineLevel="1" ht="100" customFormat="1" customHeight="1" s="36">
      <c r="A898" s="37">
        <f>A872&amp;"_"&amp;B898</f>
        <v/>
      </c>
      <c r="B898" s="42" t="n">
        <v>25</v>
      </c>
      <c r="C898" s="185" t="n"/>
      <c r="D898" s="185" t="n"/>
      <c r="E898" s="45" t="inlineStr">
        <is>
          <t>• Basic software passes data (read from hardware register and converted into logical information) to two application software functions
基础软件会将数据（从硬件寄存器读取并转换为逻辑信息）传递给两个应用程序软件功能。</t>
        </is>
      </c>
      <c r="F898" s="53" t="inlineStr">
        <is>
          <t>not applicable</t>
        </is>
      </c>
      <c r="G898" s="55" t="n"/>
      <c r="H898" s="47" t="n"/>
      <c r="I898" s="47" t="n"/>
      <c r="J898" s="49" t="n"/>
      <c r="K898" s="49" t="n"/>
      <c r="L898" s="49" t="n"/>
      <c r="M898" s="49" t="n"/>
    </row>
    <row r="899" outlineLevel="1" ht="115.5" customFormat="1" customHeight="1" s="36">
      <c r="A899" s="37">
        <f>A872&amp;"_"&amp;B899</f>
        <v/>
      </c>
      <c r="B899" s="50" t="n">
        <v>26</v>
      </c>
      <c r="C899" s="186" t="n"/>
      <c r="D899" s="186" t="n"/>
      <c r="E899"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899" s="53" t="inlineStr">
        <is>
          <t>not applicable</t>
        </is>
      </c>
      <c r="G899" s="55" t="n"/>
      <c r="H899" s="47" t="n"/>
      <c r="I899" s="47" t="n"/>
      <c r="J899" s="49" t="n"/>
      <c r="K899" s="49" t="n"/>
      <c r="L899" s="49" t="n"/>
      <c r="M899" s="49" t="n"/>
    </row>
    <row r="900" outlineLevel="1" ht="68.5" customFormat="1" customHeight="1" s="36">
      <c r="A900" s="37">
        <f>A872&amp;"_"&amp;B900</f>
        <v/>
      </c>
      <c r="B900" s="42" t="n">
        <v>27</v>
      </c>
      <c r="C900" s="187" t="inlineStr">
        <is>
          <t>Environmental
influences</t>
        </is>
      </c>
      <c r="D900" s="184" t="inlineStr">
        <is>
          <t>Common external environmental disturbance affects both functions</t>
        </is>
      </c>
      <c r="E900" s="45" t="inlineStr">
        <is>
          <t xml:space="preserve">System-level: mechanical shock, water ingress
 系统层面：机械震动、进水                                                                                                                                                                </t>
        </is>
      </c>
      <c r="F900" s="53" t="inlineStr">
        <is>
          <t>not applicable</t>
        </is>
      </c>
      <c r="G900" s="55" t="n"/>
      <c r="H900" s="47" t="n"/>
      <c r="I900" s="47" t="n"/>
      <c r="J900" s="49" t="n"/>
      <c r="K900" s="49" t="n"/>
      <c r="L900" s="49" t="n"/>
      <c r="M900" s="49" t="n"/>
    </row>
    <row r="901" outlineLevel="1" ht="28.5" customFormat="1" customHeight="1" s="36">
      <c r="A901" s="37">
        <f>A872&amp;"_"&amp;B901</f>
        <v/>
      </c>
      <c r="B901" s="50" t="n">
        <v>28</v>
      </c>
      <c r="C901" s="185" t="n"/>
      <c r="D901" s="185" t="n"/>
      <c r="E901" s="45" t="inlineStr">
        <is>
          <t>Software-level: not applicable for Software
软件层面：不适用于软件</t>
        </is>
      </c>
      <c r="F901" s="53" t="inlineStr">
        <is>
          <t>not applicable</t>
        </is>
      </c>
      <c r="G901" s="55" t="n"/>
      <c r="H901" s="47" t="n"/>
      <c r="I901" s="47" t="n"/>
      <c r="J901" s="49" t="n"/>
      <c r="K901" s="49" t="n"/>
      <c r="L901" s="49" t="n"/>
      <c r="M901" s="49" t="n"/>
    </row>
    <row r="902" outlineLevel="1" ht="43" customFormat="1" customHeight="1" s="36">
      <c r="A902" s="37">
        <f>A872&amp;"_"&amp;B902</f>
        <v/>
      </c>
      <c r="B902" s="42" t="n">
        <v>29</v>
      </c>
      <c r="C902" s="186" t="n"/>
      <c r="D902" s="186" t="n"/>
      <c r="E902" s="45" t="inlineStr">
        <is>
          <t>Hardware-level: under and over voltage of the power supply        
硬件层面：电源的欠压和过压情况</t>
        </is>
      </c>
      <c r="F902" s="53" t="inlineStr">
        <is>
          <t>not applicable</t>
        </is>
      </c>
      <c r="G902" s="55" t="n"/>
      <c r="H902" s="47" t="n"/>
      <c r="I902" s="47" t="n"/>
      <c r="J902" s="49" t="n"/>
      <c r="K902" s="49" t="n"/>
      <c r="L902" s="49" t="n"/>
      <c r="M902" s="49" t="n"/>
    </row>
    <row r="903" outlineLevel="1" ht="72.5" customFormat="1" customHeight="1" s="36">
      <c r="A903" s="37">
        <f>A872&amp;"_"&amp;B903</f>
        <v/>
      </c>
      <c r="B903" s="50" t="n">
        <v>30</v>
      </c>
      <c r="C903" s="187" t="inlineStr">
        <is>
          <t>Unintended impact</t>
        </is>
      </c>
      <c r="D903" s="187" t="inlineStr">
        <is>
          <t>Two functions affecting each other’s elements directly via an implicit, that is unintended interface.</t>
        </is>
      </c>
      <c r="E903" s="45" t="inlineStr">
        <is>
          <t>• Memory / corruption of content*
– “wild pointers“ (including program counter stack)
内存/内容损坏*
——“失控指针”（包括程序计数器栈</t>
        </is>
      </c>
      <c r="F903" s="45" t="inlineStr">
        <is>
          <t xml:space="preserve">Yes </t>
        </is>
      </c>
      <c r="G903" s="54" t="inlineStr">
        <is>
          <t>CAN传输组包模块失效后无法传递灯具的CAN信号给CAN模块对外发送反馈功能故障信号，违背安全目标SG01，SG02.SG03</t>
        </is>
      </c>
      <c r="H903" s="47" t="inlineStr">
        <is>
          <t xml:space="preserve">1：支持硬线制动灯点亮：
2：支持外部看门狗
</t>
        </is>
      </c>
      <c r="I903" s="47" t="inlineStr">
        <is>
          <t>SW_DFA_SM_001 
SW_DFA_SM_004</t>
        </is>
      </c>
      <c r="J903" s="48" t="inlineStr">
        <is>
          <t>通过集成测试</t>
        </is>
      </c>
      <c r="K903" s="49" t="inlineStr">
        <is>
          <t>满足ASILB开发和测试</t>
        </is>
      </c>
      <c r="L903" s="49" t="n"/>
      <c r="M903" s="49" t="n"/>
    </row>
    <row r="904" outlineLevel="1" ht="65" customFormat="1" customHeight="1" s="36">
      <c r="A904" s="37">
        <f>A872&amp;"_"&amp;B904</f>
        <v/>
      </c>
      <c r="B904" s="42" t="n">
        <v>31</v>
      </c>
      <c r="C904" s="185" t="n"/>
      <c r="D904" s="185" t="n"/>
      <c r="E904" s="45" t="inlineStr">
        <is>
          <t>– memory mis-allocation
——内存分配错误</t>
        </is>
      </c>
      <c r="F904" s="45" t="inlineStr">
        <is>
          <t xml:space="preserve">Yes </t>
        </is>
      </c>
      <c r="G904" s="54" t="inlineStr">
        <is>
          <t>CAN传输组包模块失效后无法传递灯具的CAN信号给CAN模块对外发送反馈功能故障信号，违背安全目标SG01，SG02.SG03</t>
        </is>
      </c>
      <c r="H904" s="47" t="inlineStr">
        <is>
          <t xml:space="preserve">1：支持硬线制动灯点亮：
2：支持外部看门狗
</t>
        </is>
      </c>
      <c r="I904" s="47" t="inlineStr">
        <is>
          <t>SW_DFA_SM_001 
SW_DFA_SM_004</t>
        </is>
      </c>
      <c r="J904" s="48" t="inlineStr">
        <is>
          <t>通过集成测试</t>
        </is>
      </c>
      <c r="K904" s="49" t="inlineStr">
        <is>
          <t>满足ASILB开发和测试</t>
        </is>
      </c>
      <c r="L904" s="49" t="n"/>
      <c r="M904" s="49" t="n"/>
    </row>
    <row r="905" outlineLevel="1" ht="65" customFormat="1" customHeight="1" s="36">
      <c r="A905" s="37">
        <f>A872&amp;"_"&amp;B905</f>
        <v/>
      </c>
      <c r="B905" s="50" t="n">
        <v>32</v>
      </c>
      <c r="C905" s="185" t="n"/>
      <c r="D905" s="185" t="n"/>
      <c r="E905" s="45" t="inlineStr">
        <is>
          <t>– memory leaks
内存泄漏</t>
        </is>
      </c>
      <c r="F905" s="45" t="inlineStr">
        <is>
          <t xml:space="preserve">Yes </t>
        </is>
      </c>
      <c r="G905" s="54" t="inlineStr">
        <is>
          <t>CAN传输组包模块失效后无法传递灯具的CAN信号给CAN模块对外发送反馈功能故障信号，违背安全目标SG01，SG02.SG03</t>
        </is>
      </c>
      <c r="H905" s="47" t="inlineStr">
        <is>
          <t xml:space="preserve">1：支持硬线制动灯点亮：
2：支持外部看门狗
</t>
        </is>
      </c>
      <c r="I905" s="47" t="inlineStr">
        <is>
          <t>SW_DFA_SM_001 
SW_DFA_SM_004</t>
        </is>
      </c>
      <c r="J905" s="48" t="inlineStr">
        <is>
          <t>通过集成测试</t>
        </is>
      </c>
      <c r="K905" s="49" t="inlineStr">
        <is>
          <t>满足ASILB开发和测试</t>
        </is>
      </c>
      <c r="L905" s="49" t="n"/>
      <c r="M905" s="49" t="n"/>
    </row>
    <row r="906" outlineLevel="1" ht="58" customFormat="1" customHeight="1" s="36">
      <c r="A906" s="37">
        <f>A872&amp;"_"&amp;B906</f>
        <v/>
      </c>
      <c r="B906" s="42" t="n">
        <v>33</v>
      </c>
      <c r="C906" s="185" t="n"/>
      <c r="D906" s="185" t="n"/>
      <c r="E906" s="45" t="inlineStr">
        <is>
          <t>– read/write access to memory allocated to another software element*
—— 对分配给其他软件组件的内存的读/写访问权限*</t>
        </is>
      </c>
      <c r="F906" s="53" t="inlineStr">
        <is>
          <t>not applicable</t>
        </is>
      </c>
      <c r="G906" s="55" t="n"/>
      <c r="H906" s="47" t="n"/>
      <c r="I906" s="47" t="n"/>
      <c r="J906" s="49" t="n"/>
      <c r="K906" s="49" t="n"/>
      <c r="L906" s="49" t="n"/>
      <c r="M906" s="49" t="n"/>
    </row>
    <row r="907" outlineLevel="1" ht="29" customFormat="1" customHeight="1" s="36">
      <c r="A907" s="37">
        <f>A872&amp;"_"&amp;B907</f>
        <v/>
      </c>
      <c r="B907" s="50" t="n">
        <v>34</v>
      </c>
      <c r="C907" s="185" t="n"/>
      <c r="D907" s="185" t="n"/>
      <c r="E907" s="45" t="inlineStr">
        <is>
          <t>– buffer under-/overflow
– 缓冲区下溢/上溢</t>
        </is>
      </c>
      <c r="F907" s="53" t="inlineStr">
        <is>
          <t>not applicable</t>
        </is>
      </c>
      <c r="G907" s="55" t="n"/>
      <c r="H907" s="47" t="n"/>
      <c r="I907" s="47" t="n"/>
      <c r="J907" s="49" t="n"/>
      <c r="K907" s="49" t="n"/>
      <c r="L907" s="49" t="n"/>
      <c r="M907" s="49" t="n"/>
    </row>
    <row r="908" outlineLevel="1" ht="57.5" customFormat="1" customHeight="1" s="36">
      <c r="A908" s="37">
        <f>A872&amp;"_"&amp;B908</f>
        <v/>
      </c>
      <c r="B908" s="42" t="n">
        <v>35</v>
      </c>
      <c r="C908" s="185" t="n"/>
      <c r="D908" s="185" t="n"/>
      <c r="E908" s="45" t="inlineStr">
        <is>
          <t>• Timing and execution
– deadlocks*
时机与执行
——死锁*</t>
        </is>
      </c>
      <c r="F908" s="53" t="inlineStr">
        <is>
          <t>not applicable</t>
        </is>
      </c>
      <c r="G908" s="55" t="n"/>
      <c r="H908" s="47" t="n"/>
      <c r="I908" s="47" t="n"/>
      <c r="J908" s="49" t="n"/>
      <c r="K908" s="49" t="n"/>
      <c r="L908" s="49" t="n"/>
      <c r="M908" s="49" t="n"/>
    </row>
    <row r="909" outlineLevel="1" ht="28.5" customFormat="1" customHeight="1" s="36">
      <c r="A909" s="37">
        <f>A872&amp;"_"&amp;B909</f>
        <v/>
      </c>
      <c r="B909" s="50" t="n">
        <v>36</v>
      </c>
      <c r="C909" s="185" t="n"/>
      <c r="D909" s="185" t="n"/>
      <c r="E909" s="45" t="inlineStr">
        <is>
          <t>– livelocks*
活锁</t>
        </is>
      </c>
      <c r="F909" s="53" t="inlineStr">
        <is>
          <t>not applicable</t>
        </is>
      </c>
      <c r="G909" s="55" t="n"/>
      <c r="H909" s="47" t="n"/>
      <c r="I909" s="47" t="n"/>
      <c r="J909" s="49" t="n"/>
      <c r="K909" s="49" t="n"/>
      <c r="L909" s="49" t="n"/>
      <c r="M909" s="49" t="n"/>
    </row>
    <row r="910" outlineLevel="1" ht="29" customFormat="1" customHeight="1" s="36">
      <c r="A910" s="37">
        <f>A872&amp;"_"&amp;B910</f>
        <v/>
      </c>
      <c r="B910" s="42" t="n">
        <v>37</v>
      </c>
      <c r="C910" s="185" t="n"/>
      <c r="D910" s="185" t="n"/>
      <c r="E910" s="45" t="inlineStr">
        <is>
          <t>– incorrect allocation of execution time*
——执行时间分配不当*</t>
        </is>
      </c>
      <c r="F910" s="53" t="inlineStr">
        <is>
          <t>not applicable</t>
        </is>
      </c>
      <c r="G910" s="55" t="n"/>
      <c r="H910" s="47" t="n"/>
      <c r="I910" s="47" t="n"/>
      <c r="J910" s="49" t="n"/>
      <c r="K910" s="49" t="n"/>
      <c r="L910" s="49" t="n"/>
      <c r="M910" s="49" t="n"/>
    </row>
    <row r="911" outlineLevel="1" ht="43.5" customFormat="1" customHeight="1" s="36">
      <c r="A911" s="37">
        <f>A872&amp;"_"&amp;B911</f>
        <v/>
      </c>
      <c r="B911" s="50" t="n">
        <v>38</v>
      </c>
      <c r="C911" s="186" t="n"/>
      <c r="D911" s="186" t="n"/>
      <c r="E911" s="45" t="inlineStr">
        <is>
          <t>– incorrect synchronization between software elements*
——软件各组成部分之间的同步不正确*</t>
        </is>
      </c>
      <c r="F911" s="53" t="inlineStr">
        <is>
          <t>not applicable</t>
        </is>
      </c>
      <c r="G911" s="46" t="n"/>
      <c r="H911" s="47" t="n"/>
      <c r="I911" s="47" t="n"/>
      <c r="J911" s="48" t="n"/>
      <c r="K911" s="49" t="n"/>
      <c r="L911" s="49" t="n"/>
      <c r="M911" s="49" t="n"/>
    </row>
    <row r="912" outlineLevel="1" ht="72" customFormat="1" customHeight="1" s="36">
      <c r="A912" s="37">
        <f>A872&amp;"_"&amp;B912</f>
        <v/>
      </c>
      <c r="B912" s="42" t="n">
        <v>39</v>
      </c>
      <c r="C912" s="187" t="inlineStr">
        <is>
          <t>Systematic coupling</t>
        </is>
      </c>
      <c r="D912" s="187" t="inlineStr">
        <is>
          <t>Systematic causes from human or tool errors can lead to the simultaneous failure of more than one function</t>
        </is>
      </c>
      <c r="E912" s="45" t="inlineStr">
        <is>
          <t>• Manufacturing fault / repair fault (e.g. false flashing, false calibration reference for sensors)
制造故障/维修故障（例如：错误的闪烁现象、传感器的错误校准参考值）</t>
        </is>
      </c>
      <c r="F912" s="53" t="inlineStr">
        <is>
          <t>not applicable</t>
        </is>
      </c>
      <c r="G912" s="55" t="n"/>
      <c r="H912" s="47" t="n"/>
      <c r="I912" s="47" t="n"/>
      <c r="J912" s="49" t="n"/>
      <c r="K912" s="49" t="n"/>
      <c r="L912" s="49" t="n"/>
      <c r="M912" s="49" t="n"/>
    </row>
    <row r="913" outlineLevel="1" ht="115.5" customFormat="1" customHeight="1" s="36">
      <c r="A913" s="37">
        <f>A872&amp;"_"&amp;B913</f>
        <v/>
      </c>
      <c r="B913" s="50" t="n">
        <v>40</v>
      </c>
      <c r="C913" s="185" t="n"/>
      <c r="D913" s="185" t="n"/>
      <c r="E913" s="61" t="inlineStr">
        <is>
          <t xml:space="preserve">• Non-diverse development approaches including:
– same software tools (e.g. IDE, compiler, linker)
非多元化的发展方式包括：
——相同的软件工具（例如集成开发环境、编译器、链接器）
</t>
        </is>
      </c>
      <c r="F913" s="45" t="inlineStr">
        <is>
          <t xml:space="preserve">Yes </t>
        </is>
      </c>
      <c r="G913" s="62" t="inlineStr">
        <is>
          <t>代码异常导致的违背安全目标</t>
        </is>
      </c>
      <c r="H913" s="63" t="inlineStr">
        <is>
          <t>工具鉴定</t>
        </is>
      </c>
      <c r="I913" s="63" t="n"/>
      <c r="J913" s="49" t="inlineStr">
        <is>
          <t>通过集成测试</t>
        </is>
      </c>
      <c r="K913" s="68" t="inlineStr">
        <is>
          <t>满足ASILB开发和测试</t>
        </is>
      </c>
      <c r="L913" s="68" t="n"/>
      <c r="M913" s="49" t="n"/>
    </row>
    <row r="914" outlineLevel="1" ht="57.5" customFormat="1" customHeight="1" s="36">
      <c r="A914" s="37">
        <f>A872&amp;"_"&amp;B914</f>
        <v/>
      </c>
      <c r="B914" s="42" t="n">
        <v>41</v>
      </c>
      <c r="C914" s="185" t="n"/>
      <c r="D914" s="185" t="n"/>
      <c r="E914" s="61" t="inlineStr">
        <is>
          <t>– same algorithms
相同的算法</t>
        </is>
      </c>
      <c r="F914" s="45" t="inlineStr">
        <is>
          <t xml:space="preserve">Yes </t>
        </is>
      </c>
      <c r="G914" s="54" t="inlineStr">
        <is>
          <t>CAN传输组包模块失效后无法传递灯具的CAN信号给CAN模块对外发送反馈功能故障信号，违背安全目标SG01，SG02.SG03</t>
        </is>
      </c>
      <c r="H914" s="47" t="inlineStr">
        <is>
          <t>1：支持外部看门狗</t>
        </is>
      </c>
      <c r="I914" s="47" t="inlineStr">
        <is>
          <t>SW_DFA_SM_004</t>
        </is>
      </c>
      <c r="J914" s="48" t="inlineStr">
        <is>
          <t>通过集成测试</t>
        </is>
      </c>
      <c r="K914" s="49" t="inlineStr">
        <is>
          <t>满足ASILB开发和测试</t>
        </is>
      </c>
      <c r="L914" s="49" t="n"/>
      <c r="M914" s="49" t="n"/>
    </row>
    <row r="915" outlineLevel="1" ht="43.5" customFormat="1" customHeight="1" s="36">
      <c r="A915" s="37">
        <f>A872&amp;"_"&amp;B915</f>
        <v/>
      </c>
      <c r="B915" s="50" t="n">
        <v>42</v>
      </c>
      <c r="C915" s="185" t="n"/>
      <c r="D915" s="185" t="n"/>
      <c r="E915" s="61" t="inlineStr">
        <is>
          <t>– same programming and/or modelling language used
所使用的编程和/或建模语言相同</t>
        </is>
      </c>
      <c r="F915" s="45" t="inlineStr">
        <is>
          <t xml:space="preserve">Yes </t>
        </is>
      </c>
      <c r="G915" s="62" t="inlineStr">
        <is>
          <t>代码异常导致的违背安全目标</t>
        </is>
      </c>
      <c r="H915" s="63" t="inlineStr">
        <is>
          <t>工具鉴定</t>
        </is>
      </c>
      <c r="I915" s="47" t="n"/>
      <c r="J915" s="49" t="inlineStr">
        <is>
          <t>通过集成测试</t>
        </is>
      </c>
      <c r="K915" s="49" t="inlineStr">
        <is>
          <t>满足ASILB开发和测试</t>
        </is>
      </c>
      <c r="L915" s="49" t="n"/>
      <c r="M915" s="49" t="n"/>
    </row>
    <row r="916" outlineLevel="1" ht="29" customFormat="1" customHeight="1" s="36">
      <c r="A916" s="37">
        <f>A872&amp;"_"&amp;B916</f>
        <v/>
      </c>
      <c r="B916" s="42" t="n">
        <v>43</v>
      </c>
      <c r="C916" s="185" t="n"/>
      <c r="D916" s="185" t="n"/>
      <c r="E916" s="61" t="inlineStr">
        <is>
          <t>– same complier/linker used
使用的是相同的编译器/链接器</t>
        </is>
      </c>
      <c r="F916" s="45" t="inlineStr">
        <is>
          <t xml:space="preserve">Yes </t>
        </is>
      </c>
      <c r="G916" s="62" t="inlineStr">
        <is>
          <t>代码异常导致的违背安全目标</t>
        </is>
      </c>
      <c r="H916" s="63" t="inlineStr">
        <is>
          <t>工具鉴定</t>
        </is>
      </c>
      <c r="I916" s="47" t="n"/>
      <c r="J916" s="49" t="inlineStr">
        <is>
          <t>通过集成测试</t>
        </is>
      </c>
      <c r="K916" s="49" t="inlineStr">
        <is>
          <t>满足ASILB开发和测试</t>
        </is>
      </c>
      <c r="L916" s="49" t="n"/>
      <c r="M916" s="49" t="n"/>
    </row>
    <row r="917" outlineLevel="1" ht="28.5" customFormat="1" customHeight="1" s="36">
      <c r="A917" s="37">
        <f>A872&amp;"_"&amp;B917</f>
        <v/>
      </c>
      <c r="B917" s="50" t="n">
        <v>44</v>
      </c>
      <c r="C917" s="185" t="n"/>
      <c r="D917" s="185" t="n"/>
      <c r="E917" s="45" t="inlineStr">
        <is>
          <t>• Same personnel
相同人员</t>
        </is>
      </c>
      <c r="F917" s="53" t="inlineStr">
        <is>
          <t>not applicable</t>
        </is>
      </c>
      <c r="G917" s="55" t="n"/>
      <c r="H917" s="47" t="n"/>
      <c r="I917" s="47" t="n"/>
      <c r="J917" s="49" t="n"/>
      <c r="K917" s="49" t="n"/>
      <c r="L917" s="49" t="n"/>
      <c r="M917" s="49" t="n"/>
    </row>
    <row r="918" outlineLevel="1" ht="57" customFormat="1" customHeight="1" s="36">
      <c r="A918" s="37">
        <f>A872&amp;"_"&amp;B918</f>
        <v/>
      </c>
      <c r="B918" s="42" t="n">
        <v>45</v>
      </c>
      <c r="C918" s="185" t="n"/>
      <c r="D918" s="185" t="n"/>
      <c r="E918" s="45" t="inlineStr">
        <is>
          <t>• Same social-cultural context (even if different personnel)
相同的社会文化背景（即便人员有所不同）</t>
        </is>
      </c>
      <c r="F918" s="53" t="inlineStr">
        <is>
          <t>not applicable</t>
        </is>
      </c>
      <c r="G918" s="55" t="n"/>
      <c r="H918" s="47" t="n"/>
      <c r="I918" s="47" t="n"/>
      <c r="J918" s="49" t="n"/>
      <c r="K918" s="49" t="n"/>
      <c r="L918" s="49" t="n"/>
      <c r="M918" s="49" t="n"/>
    </row>
    <row r="919" outlineLevel="1" ht="57.5" customFormat="1" customHeight="1" s="36">
      <c r="A919" s="37">
        <f>A872&amp;"_"&amp;B919</f>
        <v/>
      </c>
      <c r="B919" s="50" t="n">
        <v>46</v>
      </c>
      <c r="C919" s="185" t="n"/>
      <c r="D919" s="185" t="n"/>
      <c r="E919" s="45" t="inlineStr">
        <is>
          <t>• Development fault, e.g.
– human error
开发失误，例如：
– 人为错误</t>
        </is>
      </c>
      <c r="F919" s="53" t="inlineStr">
        <is>
          <t>not applicable</t>
        </is>
      </c>
      <c r="G919" s="55" t="n"/>
      <c r="H919" s="47" t="n"/>
      <c r="I919" s="47" t="n"/>
      <c r="J919" s="49" t="n"/>
      <c r="K919" s="49" t="n"/>
      <c r="L919" s="49" t="n"/>
      <c r="M919" s="49" t="n"/>
    </row>
    <row r="920" outlineLevel="1" ht="28.5" customFormat="1" customHeight="1" s="36">
      <c r="A920" s="37">
        <f>A872&amp;"_"&amp;B920</f>
        <v/>
      </c>
      <c r="B920" s="42" t="n">
        <v>47</v>
      </c>
      <c r="C920" s="185" t="n"/>
      <c r="D920" s="185" t="n"/>
      <c r="E920" s="45" t="inlineStr">
        <is>
          <t>– insufficiently qualified personnel
资质不足的人员</t>
        </is>
      </c>
      <c r="F920" s="53" t="inlineStr">
        <is>
          <t>not applicable</t>
        </is>
      </c>
      <c r="G920" s="55" t="n"/>
      <c r="H920" s="47" t="n"/>
      <c r="I920" s="47" t="n"/>
      <c r="J920" s="49" t="n"/>
      <c r="K920" s="49" t="n"/>
      <c r="L920" s="49" t="n"/>
      <c r="M920" s="49" t="n"/>
    </row>
    <row r="921" outlineLevel="1" ht="28.5" customFormat="1" customHeight="1" s="36">
      <c r="A921" s="37">
        <f>A872&amp;"_"&amp;B921</f>
        <v/>
      </c>
      <c r="B921" s="50" t="n">
        <v>48</v>
      </c>
      <c r="C921" s="185" t="n"/>
      <c r="D921" s="185" t="n"/>
      <c r="E921" s="45" t="inlineStr">
        <is>
          <t>– process weaknesses
处理弱点</t>
        </is>
      </c>
      <c r="F921" s="53" t="inlineStr">
        <is>
          <t>not applicable</t>
        </is>
      </c>
      <c r="G921" s="55" t="n"/>
      <c r="H921" s="47" t="n"/>
      <c r="I921" s="47" t="n"/>
      <c r="J921" s="49" t="n"/>
      <c r="K921" s="49" t="n"/>
      <c r="L921" s="49" t="n"/>
      <c r="M921" s="49" t="n"/>
    </row>
    <row r="922" outlineLevel="1" ht="26" customFormat="1" customHeight="1" s="36">
      <c r="A922" s="37">
        <f>A872&amp;"_"&amp;B922</f>
        <v/>
      </c>
      <c r="B922" s="42" t="n">
        <v>49</v>
      </c>
      <c r="C922" s="186" t="n"/>
      <c r="D922" s="186" t="n"/>
      <c r="E922" s="45" t="inlineStr">
        <is>
          <t>– insufficient methods方法不足</t>
        </is>
      </c>
      <c r="F922" s="53" t="inlineStr">
        <is>
          <t>not applicable</t>
        </is>
      </c>
      <c r="G922" s="55" t="n"/>
      <c r="H922" s="47" t="n"/>
      <c r="I922" s="47" t="n"/>
      <c r="J922" s="49" t="n"/>
      <c r="K922" s="49" t="n"/>
      <c r="L922" s="49" t="n"/>
      <c r="M922" s="49" t="n"/>
    </row>
    <row r="923" ht="75" customFormat="1" customHeight="1" s="36">
      <c r="A923" s="67">
        <f>'Top Event'!B22</f>
        <v/>
      </c>
      <c r="B923" s="67" t="n"/>
      <c r="C923" s="67">
        <f>'Top Event'!C22</f>
        <v/>
      </c>
      <c r="D923" s="69">
        <f>'Top Event'!D22</f>
        <v/>
      </c>
      <c r="E923" s="67">
        <f>'Top Event'!E22</f>
        <v/>
      </c>
      <c r="F923" s="66" t="n"/>
      <c r="G923" s="66" t="n"/>
      <c r="H923" s="64" t="n"/>
      <c r="I923" s="64" t="n"/>
      <c r="J923" s="36" t="n"/>
      <c r="K923" s="36" t="n"/>
      <c r="L923" s="36" t="n"/>
      <c r="M923" s="36" t="n"/>
    </row>
    <row r="924" ht="37.25" customFormat="1" customHeight="1" s="36">
      <c r="A924" s="37" t="n"/>
      <c r="B924" s="37" t="n"/>
      <c r="C924" s="38" t="inlineStr">
        <is>
          <t>DF-I Category</t>
        </is>
      </c>
      <c r="D924" s="38" t="inlineStr">
        <is>
          <t>Interpretation</t>
        </is>
      </c>
      <c r="E924" s="38" t="inlineStr">
        <is>
          <t>DF-Initiator Examples</t>
        </is>
      </c>
      <c r="F924" s="38" t="inlineStr">
        <is>
          <t>Applicable?</t>
        </is>
      </c>
      <c r="G924" s="38" t="inlineStr">
        <is>
          <t>safety  goal related</t>
        </is>
      </c>
      <c r="H924" s="39" t="inlineStr">
        <is>
          <t>Counter Measure</t>
        </is>
      </c>
      <c r="I924" s="39" t="inlineStr">
        <is>
          <t>Counter Measure ID</t>
        </is>
      </c>
      <c r="J924" s="38" t="inlineStr">
        <is>
          <t>Evidence</t>
        </is>
      </c>
      <c r="K924" s="38" t="inlineStr">
        <is>
          <t>sufficient?</t>
        </is>
      </c>
      <c r="L924" s="38" t="n"/>
      <c r="M924" s="41" t="inlineStr">
        <is>
          <t>Comment</t>
        </is>
      </c>
    </row>
    <row r="925" outlineLevel="1" ht="86" customFormat="1" customHeight="1" s="36">
      <c r="A925" s="37">
        <f>A923&amp;"_"&amp;B925</f>
        <v/>
      </c>
      <c r="B925" s="42" t="n">
        <v>1</v>
      </c>
      <c r="C925" s="183" t="inlineStr">
        <is>
          <t>Shared resource</t>
        </is>
      </c>
      <c r="D925" s="184" t="inlineStr">
        <is>
          <t>The same software, hardware, or system element instance used by the two elements which are therefore affected by the failure or unavailability of that shared resource, i.e. from a physical perspective.</t>
        </is>
      </c>
      <c r="E925" s="45" t="inlineStr">
        <is>
          <t>Software component used by more than one other software component, e.g.
– reused standard software modules
被多个其他软件组件所使用的软件组件，例如：
– 重复使用的标准软件模块</t>
        </is>
      </c>
      <c r="F925" s="53" t="inlineStr">
        <is>
          <t>not applicable</t>
        </is>
      </c>
      <c r="G925" s="55" t="n"/>
      <c r="H925" s="47" t="n"/>
      <c r="I925" s="47" t="n"/>
      <c r="J925" s="49" t="n"/>
      <c r="K925" s="49" t="n"/>
      <c r="L925" s="49" t="n"/>
      <c r="M925" s="49" t="n"/>
    </row>
    <row r="926" outlineLevel="1" ht="28.5" customFormat="1" customHeight="1" s="36">
      <c r="A926" s="37">
        <f>A923&amp;"_"&amp;B926</f>
        <v/>
      </c>
      <c r="B926" s="50" t="n">
        <v>2</v>
      </c>
      <c r="C926" s="185" t="n"/>
      <c r="D926" s="185" t="n"/>
      <c r="E926" s="45" t="inlineStr">
        <is>
          <t>– libraries
库</t>
        </is>
      </c>
      <c r="F926" s="53" t="inlineStr">
        <is>
          <t>not applicable</t>
        </is>
      </c>
      <c r="G926" s="55" t="n"/>
      <c r="H926" s="47" t="n"/>
      <c r="I926" s="47" t="n"/>
      <c r="J926" s="49" t="n"/>
      <c r="K926" s="49" t="n"/>
      <c r="L926" s="49" t="n"/>
      <c r="M926" s="49" t="n"/>
    </row>
    <row r="927" outlineLevel="1" ht="28.5" customFormat="1" customHeight="1" s="36">
      <c r="A927" s="37">
        <f>A923&amp;"_"&amp;B927</f>
        <v/>
      </c>
      <c r="B927" s="42" t="n">
        <v>3</v>
      </c>
      <c r="C927" s="185" t="n"/>
      <c r="D927" s="185" t="n"/>
      <c r="E927" s="45" t="inlineStr">
        <is>
          <t>– middleware
中间件</t>
        </is>
      </c>
      <c r="F927" s="53" t="inlineStr">
        <is>
          <t>not applicable</t>
        </is>
      </c>
      <c r="G927" s="55" t="n"/>
      <c r="H927" s="47" t="n"/>
      <c r="I927" s="47" t="n"/>
      <c r="J927" s="49" t="n"/>
      <c r="K927" s="49" t="n"/>
      <c r="L927" s="49" t="n"/>
      <c r="M927" s="49" t="n"/>
    </row>
    <row r="928" outlineLevel="1" ht="28.5" customFormat="1" customHeight="1" s="36">
      <c r="A928" s="37">
        <f>A923&amp;"_"&amp;B928</f>
        <v/>
      </c>
      <c r="B928" s="50" t="n">
        <v>4</v>
      </c>
      <c r="C928" s="185" t="n"/>
      <c r="D928" s="185" t="n"/>
      <c r="E928" s="45" t="inlineStr">
        <is>
          <t>– basic software
基本软件</t>
        </is>
      </c>
      <c r="F928" s="53" t="inlineStr">
        <is>
          <t>not applicable</t>
        </is>
      </c>
      <c r="G928" s="46" t="n"/>
      <c r="H928" s="47" t="n"/>
      <c r="I928" s="47" t="n"/>
      <c r="J928" s="48" t="n"/>
      <c r="K928" s="49" t="n"/>
      <c r="L928" s="49" t="n"/>
      <c r="M928" s="49" t="n"/>
    </row>
    <row r="929" outlineLevel="1" ht="43.5" customFormat="1" customHeight="1" s="36">
      <c r="A929" s="37">
        <f>A923&amp;"_"&amp;B929</f>
        <v/>
      </c>
      <c r="B929" s="42" t="n">
        <v>5</v>
      </c>
      <c r="C929" s="185" t="n"/>
      <c r="D929" s="185" t="n"/>
      <c r="E929" s="45" t="inlineStr">
        <is>
          <t xml:space="preserve">– operating system including scheduler
——包含调度器的操作系统
</t>
        </is>
      </c>
      <c r="F929" s="53" t="inlineStr">
        <is>
          <t>not applicable</t>
        </is>
      </c>
      <c r="G929" s="55" t="n"/>
      <c r="H929" s="47" t="n"/>
      <c r="I929" s="47" t="n"/>
      <c r="J929" s="49" t="n"/>
      <c r="K929" s="49" t="n"/>
      <c r="L929" s="49" t="n"/>
      <c r="M929" s="49" t="n"/>
    </row>
    <row r="930" outlineLevel="1" ht="28.5" customFormat="1" customHeight="1" s="36">
      <c r="A930" s="37">
        <f>A923&amp;"_"&amp;B930</f>
        <v/>
      </c>
      <c r="B930" s="50" t="n">
        <v>6</v>
      </c>
      <c r="C930" s="185" t="n"/>
      <c r="D930" s="185" t="n"/>
      <c r="E930" s="45" t="inlineStr">
        <is>
          <t>– communication stack
通信协议栈</t>
        </is>
      </c>
      <c r="F930" s="53" t="inlineStr">
        <is>
          <t>not applicable</t>
        </is>
      </c>
      <c r="G930" s="46" t="n"/>
      <c r="H930" s="47" t="n"/>
      <c r="I930" s="47" t="n"/>
      <c r="J930" s="48" t="n"/>
      <c r="K930" s="49" t="n"/>
      <c r="L930" s="49" t="n"/>
      <c r="M930" s="49" t="n"/>
    </row>
    <row r="931" outlineLevel="1" ht="29" customFormat="1" customHeight="1" s="36">
      <c r="A931" s="37">
        <f>A923&amp;"_"&amp;B931</f>
        <v/>
      </c>
      <c r="B931" s="42" t="n">
        <v>7</v>
      </c>
      <c r="C931" s="185" t="n"/>
      <c r="D931" s="185" t="n"/>
      <c r="E931" s="45" t="inlineStr">
        <is>
          <t xml:space="preserve">– parameter file参数文件
</t>
        </is>
      </c>
      <c r="F931" s="53" t="inlineStr">
        <is>
          <t>not applicable</t>
        </is>
      </c>
      <c r="G931" s="55" t="n"/>
      <c r="H931" s="47" t="n"/>
      <c r="I931" s="47" t="n"/>
      <c r="J931" s="49" t="n"/>
      <c r="K931" s="49" t="n"/>
      <c r="L931" s="49" t="n"/>
      <c r="M931" s="49" t="n"/>
    </row>
    <row r="932" outlineLevel="1" ht="28.5" customFormat="1" customHeight="1" s="36">
      <c r="A932" s="37">
        <f>A923&amp;"_"&amp;B932</f>
        <v/>
      </c>
      <c r="B932" s="50" t="n">
        <v>8</v>
      </c>
      <c r="C932" s="185" t="n"/>
      <c r="D932" s="185" t="n"/>
      <c r="E932" s="45" t="inlineStr">
        <is>
          <t>– execution time
执行时间</t>
        </is>
      </c>
      <c r="F932" s="53" t="inlineStr">
        <is>
          <t>not applicable</t>
        </is>
      </c>
      <c r="G932" s="55" t="n"/>
      <c r="H932" s="47" t="n"/>
      <c r="I932" s="47" t="n"/>
      <c r="J932" s="49" t="n"/>
      <c r="K932" s="49" t="n"/>
      <c r="L932" s="49" t="n"/>
      <c r="M932" s="49" t="n"/>
    </row>
    <row r="933" outlineLevel="1" ht="26" customFormat="1" customHeight="1" s="36">
      <c r="A933" s="37">
        <f>A923&amp;"_"&amp;B933</f>
        <v/>
      </c>
      <c r="B933" s="42" t="n">
        <v>9</v>
      </c>
      <c r="C933" s="186" t="n"/>
      <c r="D933" s="186" t="n"/>
      <c r="E933" s="45" t="inlineStr">
        <is>
          <t>– allocated memory</t>
        </is>
      </c>
      <c r="F933" s="53" t="inlineStr">
        <is>
          <t>not applicable</t>
        </is>
      </c>
      <c r="G933" s="55" t="n"/>
      <c r="H933" s="47" t="n"/>
      <c r="I933" s="47" t="n"/>
      <c r="J933" s="49" t="n"/>
      <c r="K933" s="49" t="n"/>
      <c r="L933" s="49" t="n"/>
      <c r="M933" s="49" t="n"/>
    </row>
    <row r="934" outlineLevel="1" ht="28.5" customFormat="1" customHeight="1" s="36">
      <c r="A934" s="37">
        <f>A923&amp;"_"&amp;B934</f>
        <v/>
      </c>
      <c r="B934" s="50" t="n">
        <v>10</v>
      </c>
      <c r="C934" s="187" t="inlineStr">
        <is>
          <t>Components of
identical type</t>
        </is>
      </c>
      <c r="D934" s="187" t="inlineStr">
        <is>
          <t>Identical components may fail with higher probability simultaneously (common mode failures)</t>
        </is>
      </c>
      <c r="E934" s="45" t="inlineStr">
        <is>
          <t>• Reused standard software modules
重复使用的标准软件模块</t>
        </is>
      </c>
      <c r="F934" s="53" t="inlineStr">
        <is>
          <t>not applicable</t>
        </is>
      </c>
      <c r="G934" s="46" t="n"/>
      <c r="H934" s="47" t="n"/>
      <c r="I934" s="47" t="n"/>
      <c r="J934" s="48" t="n"/>
      <c r="K934" s="49" t="n"/>
      <c r="L934" s="49" t="n"/>
      <c r="M934" s="49" t="n"/>
    </row>
    <row r="935" outlineLevel="1" ht="28.5" customFormat="1" customHeight="1" s="36">
      <c r="A935" s="37">
        <f>A923&amp;"_"&amp;B935</f>
        <v/>
      </c>
      <c r="B935" s="42" t="n">
        <v>11</v>
      </c>
      <c r="C935" s="185" t="n"/>
      <c r="D935" s="185" t="n"/>
      <c r="E935" s="45" t="inlineStr">
        <is>
          <t>• Standard library components
标准库组件</t>
        </is>
      </c>
      <c r="F935" s="53" t="inlineStr">
        <is>
          <t>not applicable</t>
        </is>
      </c>
      <c r="G935" s="46" t="n"/>
      <c r="H935" s="47" t="n"/>
      <c r="I935" s="47" t="n"/>
      <c r="J935" s="48" t="n"/>
      <c r="K935" s="49" t="n"/>
      <c r="L935" s="49" t="n"/>
      <c r="M935" s="49" t="n"/>
    </row>
    <row r="936" outlineLevel="1" ht="28.5" customFormat="1" customHeight="1" s="36">
      <c r="A936" s="37">
        <f>A923&amp;"_"&amp;B936</f>
        <v/>
      </c>
      <c r="B936" s="50" t="n">
        <v>12</v>
      </c>
      <c r="C936" s="185" t="n"/>
      <c r="D936" s="185" t="n"/>
      <c r="E936" s="45" t="inlineStr">
        <is>
          <t>• Middleware
中间件</t>
        </is>
      </c>
      <c r="F936" s="53" t="inlineStr">
        <is>
          <t>not applicable</t>
        </is>
      </c>
      <c r="G936" s="55" t="n"/>
      <c r="H936" s="47" t="n"/>
      <c r="I936" s="47" t="n"/>
      <c r="J936" s="49" t="n"/>
      <c r="K936" s="49" t="n"/>
      <c r="L936" s="49" t="n"/>
      <c r="M936" s="49" t="n"/>
    </row>
    <row r="937" outlineLevel="1" ht="28.5" customFormat="1" customHeight="1" s="36">
      <c r="A937" s="37">
        <f>A923&amp;"_"&amp;B937</f>
        <v/>
      </c>
      <c r="B937" s="42" t="n">
        <v>13</v>
      </c>
      <c r="C937" s="185" t="n"/>
      <c r="D937" s="185" t="n"/>
      <c r="E937" s="45" t="inlineStr">
        <is>
          <t>• Operating system
操作系统</t>
        </is>
      </c>
      <c r="F937" s="53" t="inlineStr">
        <is>
          <t>not applicable</t>
        </is>
      </c>
      <c r="G937" s="55" t="n"/>
      <c r="H937" s="47" t="n"/>
      <c r="I937" s="47" t="n"/>
      <c r="J937" s="49" t="n"/>
      <c r="K937" s="49" t="n"/>
      <c r="L937" s="49" t="n"/>
      <c r="M937" s="49" t="n"/>
    </row>
    <row r="938" outlineLevel="1" ht="28.5" customFormat="1" customHeight="1" s="36">
      <c r="A938" s="37">
        <f>A923&amp;"_"&amp;B938</f>
        <v/>
      </c>
      <c r="B938" s="50" t="n">
        <v>14</v>
      </c>
      <c r="C938" s="185" t="n"/>
      <c r="D938" s="185" t="n"/>
      <c r="E938" s="45" t="inlineStr">
        <is>
          <t>• Communication stack
通信栈</t>
        </is>
      </c>
      <c r="F938" s="45" t="inlineStr">
        <is>
          <t xml:space="preserve">Yes </t>
        </is>
      </c>
      <c r="G938" s="62" t="inlineStr">
        <is>
          <t>不违背安全目标</t>
        </is>
      </c>
      <c r="H938" s="47" t="inlineStr">
        <is>
          <t>通信丢失检测及安全降级</t>
        </is>
      </c>
      <c r="I938" s="47" t="inlineStr">
        <is>
          <t>SW_DFA_SM_003</t>
        </is>
      </c>
      <c r="J938" s="49" t="inlineStr">
        <is>
          <t>通过集成测试</t>
        </is>
      </c>
      <c r="K938" s="49" t="inlineStr">
        <is>
          <t>满足ASILB开发和测试</t>
        </is>
      </c>
      <c r="L938" s="49" t="n"/>
      <c r="M938" s="49" t="n"/>
    </row>
    <row r="939" outlineLevel="1" ht="58" customFormat="1" customHeight="1" s="36">
      <c r="A939" s="37">
        <f>A923&amp;"_"&amp;B939</f>
        <v/>
      </c>
      <c r="B939" s="42" t="n">
        <v>15</v>
      </c>
      <c r="C939" s="186" t="n"/>
      <c r="D939" s="186" t="n"/>
      <c r="E939" s="45" t="inlineStr">
        <is>
          <t xml:space="preserve">
• Parameter set
参数设置
</t>
        </is>
      </c>
      <c r="F939" s="53" t="inlineStr">
        <is>
          <t>not applicable</t>
        </is>
      </c>
      <c r="G939" s="55" t="n"/>
      <c r="H939" s="47" t="n"/>
      <c r="I939" s="47" t="n"/>
      <c r="J939" s="49" t="n"/>
      <c r="K939" s="49" t="n"/>
      <c r="L939" s="49" t="n"/>
      <c r="M939" s="49" t="n"/>
    </row>
    <row r="940" outlineLevel="1" ht="100.5" customFormat="1" customHeight="1" s="36">
      <c r="A940" s="37">
        <f>A923&amp;"_"&amp;B940</f>
        <v/>
      </c>
      <c r="B940" s="50" t="n">
        <v>16</v>
      </c>
      <c r="C940" s="187" t="inlineStr">
        <is>
          <t>Communication
between the two
functions</t>
        </is>
      </c>
      <c r="D940" s="184" t="inlineStr">
        <is>
          <t>Receiving function is affected by information that is false, lost, sent multiple times, or in the wrong order etc. from the sender</t>
        </is>
      </c>
      <c r="E940"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940" s="53" t="inlineStr">
        <is>
          <t>not applicable</t>
        </is>
      </c>
      <c r="G940" s="55" t="n"/>
      <c r="H940" s="47" t="n"/>
      <c r="I940" s="47" t="n"/>
      <c r="J940" s="48" t="n"/>
      <c r="K940" s="49" t="n"/>
      <c r="L940" s="49" t="n"/>
      <c r="M940" s="49" t="n"/>
    </row>
    <row r="941" outlineLevel="1" ht="72.5" customFormat="1" customHeight="1" s="36">
      <c r="A941" s="37">
        <f>A923&amp;"_"&amp;B941</f>
        <v/>
      </c>
      <c r="B941" s="42" t="n">
        <v>17</v>
      </c>
      <c r="C941" s="185" t="n"/>
      <c r="D941" s="185" t="n"/>
      <c r="E941" s="45" t="inlineStr">
        <is>
          <t>• Data or message corruption/ repetition*/ loss*/ delay*/ masquerading or incorrect addressing of information*
数据或信息的损坏/重复/丢失/延迟/伪装或信息的错误标识*</t>
        </is>
      </c>
      <c r="F941" s="53" t="inlineStr">
        <is>
          <t>not applicable</t>
        </is>
      </c>
      <c r="G941" s="55" t="n"/>
      <c r="H941" s="47" t="n"/>
      <c r="I941" s="47" t="n"/>
      <c r="J941" s="49" t="n"/>
      <c r="K941" s="49" t="n"/>
      <c r="L941" s="49" t="n"/>
      <c r="M941" s="49" t="n"/>
    </row>
    <row r="942" outlineLevel="1" ht="49" customFormat="1" customHeight="1" s="36">
      <c r="A942" s="37">
        <f>A923&amp;"_"&amp;B942</f>
        <v/>
      </c>
      <c r="B942" s="50" t="n">
        <v>18</v>
      </c>
      <c r="C942" s="185" t="n"/>
      <c r="D942" s="185" t="n"/>
      <c r="E942" s="45" t="inlineStr">
        <is>
          <t>• Insertion*/ sequence of information*
插入* / 信息序列*</t>
        </is>
      </c>
      <c r="F942" s="53" t="inlineStr">
        <is>
          <t>not applicable</t>
        </is>
      </c>
      <c r="G942" s="55" t="n"/>
      <c r="H942" s="47" t="n"/>
      <c r="I942" s="47" t="n"/>
      <c r="J942" s="49" t="n"/>
      <c r="K942" s="49" t="n"/>
      <c r="L942" s="49" t="n"/>
      <c r="M942" s="49" t="n"/>
    </row>
    <row r="943" outlineLevel="1" ht="48" customFormat="1" customHeight="1" s="36">
      <c r="A943" s="37">
        <f>A923&amp;"_"&amp;B943</f>
        <v/>
      </c>
      <c r="B943" s="42" t="n">
        <v>19</v>
      </c>
      <c r="C943" s="185" t="n"/>
      <c r="D943" s="185" t="n"/>
      <c r="E943" s="45" t="inlineStr">
        <is>
          <t>• Corruption of information*
信息的失真*</t>
        </is>
      </c>
      <c r="F943" s="53" t="inlineStr">
        <is>
          <t>not applicable</t>
        </is>
      </c>
      <c r="G943" s="55" t="n"/>
      <c r="H943" s="47" t="n"/>
      <c r="I943" s="47" t="n"/>
      <c r="J943" s="49" t="n"/>
      <c r="K943" s="49" t="n"/>
      <c r="L943" s="49" t="n"/>
      <c r="M943" s="49" t="n"/>
    </row>
    <row r="944" outlineLevel="1" ht="48" customFormat="1" customHeight="1" s="36">
      <c r="A944" s="37">
        <f>A923&amp;"_"&amp;B944</f>
        <v/>
      </c>
      <c r="B944" s="50" t="n">
        <v>20</v>
      </c>
      <c r="C944" s="185" t="n"/>
      <c r="D944" s="185" t="n"/>
      <c r="E944" s="45" t="inlineStr">
        <is>
          <t>• Asymmetric information sent from a sender to multiple receivers*
从发送者传向多个接收者的不对称信息*</t>
        </is>
      </c>
      <c r="F944" s="53" t="inlineStr">
        <is>
          <t>not applicable</t>
        </is>
      </c>
      <c r="G944" s="55" t="n"/>
      <c r="H944" s="47" t="n"/>
      <c r="I944" s="47" t="n"/>
      <c r="J944" s="49" t="n"/>
      <c r="K944" s="49" t="n"/>
      <c r="L944" s="49" t="n"/>
      <c r="M944" s="49" t="n"/>
    </row>
    <row r="945" outlineLevel="1" ht="48" customFormat="1" customHeight="1" s="36">
      <c r="A945" s="37">
        <f>A923&amp;"_"&amp;B945</f>
        <v/>
      </c>
      <c r="B945" s="42" t="n">
        <v>21</v>
      </c>
      <c r="C945" s="185" t="n"/>
      <c r="D945" s="185" t="n"/>
      <c r="E945" s="45" t="inlineStr">
        <is>
          <t>• Information from a sender received by only a subset of the receivers*
仅部分接收者接收到的来自发送者的信息*</t>
        </is>
      </c>
      <c r="F945" s="53" t="inlineStr">
        <is>
          <t>not applicable</t>
        </is>
      </c>
      <c r="G945" s="55" t="n"/>
      <c r="H945" s="47" t="n"/>
      <c r="I945" s="47" t="n"/>
      <c r="J945" s="49" t="n"/>
      <c r="K945" s="49" t="n"/>
      <c r="L945" s="49" t="n"/>
      <c r="M945" s="49" t="n"/>
    </row>
    <row r="946" outlineLevel="1" ht="43.5" customFormat="1" customHeight="1" s="36">
      <c r="A946" s="37">
        <f>A923&amp;"_"&amp;B946</f>
        <v/>
      </c>
      <c r="B946" s="50" t="n">
        <v>22</v>
      </c>
      <c r="C946" s="186" t="n"/>
      <c r="D946" s="186" t="n"/>
      <c r="E946" s="45" t="inlineStr">
        <is>
          <t>• Blocking access to a communication channel*
阻止对通信通道的访问*</t>
        </is>
      </c>
      <c r="F946" s="53" t="inlineStr">
        <is>
          <t>not applicable</t>
        </is>
      </c>
      <c r="G946" s="46" t="n"/>
      <c r="H946" s="47" t="n"/>
      <c r="I946" s="47" t="n"/>
      <c r="J946" s="48" t="n"/>
      <c r="K946" s="49" t="n"/>
      <c r="L946" s="49" t="n"/>
      <c r="M946" s="49" t="n"/>
    </row>
    <row r="947" outlineLevel="1" ht="45" customFormat="1" customHeight="1" s="36">
      <c r="A947" s="37">
        <f>A923&amp;"_"&amp;B947</f>
        <v/>
      </c>
      <c r="B947" s="42" t="n">
        <v>23</v>
      </c>
      <c r="C947" s="187" t="inlineStr">
        <is>
          <t>Shared information
inputs</t>
        </is>
      </c>
      <c r="D947" s="187" t="inlineStr">
        <is>
          <t>Same information consumed by the two functions even in absence of shared resources, i.e. from a functional perspective</t>
        </is>
      </c>
      <c r="E947" s="45" t="inlineStr">
        <is>
          <t>• Calibration parameters
标准参数</t>
        </is>
      </c>
      <c r="F947" s="53" t="inlineStr">
        <is>
          <t>not applicable</t>
        </is>
      </c>
      <c r="G947" s="55" t="n"/>
      <c r="H947" s="47" t="n"/>
      <c r="I947" s="47" t="n"/>
      <c r="J947" s="49" t="n"/>
      <c r="K947" s="49" t="n"/>
      <c r="L947" s="49" t="n"/>
      <c r="M947" s="49" t="n"/>
    </row>
    <row r="948" outlineLevel="1" ht="57" customFormat="1" customHeight="1" s="36">
      <c r="A948" s="37">
        <f>A923&amp;"_"&amp;B948</f>
        <v/>
      </c>
      <c r="B948" s="50" t="n">
        <v>24</v>
      </c>
      <c r="C948" s="185" t="n"/>
      <c r="D948" s="185" t="n"/>
      <c r="E948" s="45" t="inlineStr">
        <is>
          <t>• Constants, or variables, being global to the two software functions
常量或变量对于这两个软件功能而言是全局性的。</t>
        </is>
      </c>
      <c r="F948" s="53" t="inlineStr">
        <is>
          <t>not applicable</t>
        </is>
      </c>
      <c r="G948" s="46" t="n"/>
      <c r="H948" s="47" t="n"/>
      <c r="I948" s="47" t="n"/>
      <c r="J948" s="48" t="n"/>
      <c r="K948" s="49" t="n"/>
      <c r="L948" s="49" t="n"/>
      <c r="M948" s="49" t="n"/>
    </row>
    <row r="949" outlineLevel="1" ht="100" customFormat="1" customHeight="1" s="36">
      <c r="A949" s="37">
        <f>A923&amp;"_"&amp;B949</f>
        <v/>
      </c>
      <c r="B949" s="42" t="n">
        <v>25</v>
      </c>
      <c r="C949" s="185" t="n"/>
      <c r="D949" s="185" t="n"/>
      <c r="E949" s="45" t="inlineStr">
        <is>
          <t>• Basic software passes data (read from hardware register and converted into logical information) to two application software functions
基础软件会将数据（从硬件寄存器读取并转换为逻辑信息）传递给两个应用程序软件功能。</t>
        </is>
      </c>
      <c r="F949" s="53" t="inlineStr">
        <is>
          <t>not applicable</t>
        </is>
      </c>
      <c r="G949" s="55" t="n"/>
      <c r="H949" s="47" t="n"/>
      <c r="I949" s="47" t="n"/>
      <c r="J949" s="49" t="n"/>
      <c r="K949" s="49" t="n"/>
      <c r="L949" s="49" t="n"/>
      <c r="M949" s="49" t="n"/>
    </row>
    <row r="950" outlineLevel="1" ht="115.5" customFormat="1" customHeight="1" s="36">
      <c r="A950" s="37">
        <f>A923&amp;"_"&amp;B950</f>
        <v/>
      </c>
      <c r="B950" s="50" t="n">
        <v>26</v>
      </c>
      <c r="C950" s="186" t="n"/>
      <c r="D950" s="186" t="n"/>
      <c r="E950"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950" s="53" t="inlineStr">
        <is>
          <t>not applicable</t>
        </is>
      </c>
      <c r="G950" s="55" t="n"/>
      <c r="H950" s="47" t="n"/>
      <c r="I950" s="47" t="n"/>
      <c r="J950" s="49" t="n"/>
      <c r="K950" s="49" t="n"/>
      <c r="L950" s="49" t="n"/>
      <c r="M950" s="49" t="n"/>
    </row>
    <row r="951" outlineLevel="1" ht="68.5" customFormat="1" customHeight="1" s="36">
      <c r="A951" s="37">
        <f>A923&amp;"_"&amp;B951</f>
        <v/>
      </c>
      <c r="B951" s="42" t="n">
        <v>27</v>
      </c>
      <c r="C951" s="187" t="inlineStr">
        <is>
          <t>Environmental
influences</t>
        </is>
      </c>
      <c r="D951" s="184" t="inlineStr">
        <is>
          <t>Common external environmental disturbance affects both functions</t>
        </is>
      </c>
      <c r="E951" s="45" t="inlineStr">
        <is>
          <t xml:space="preserve">System-level: mechanical shock, water ingress
 系统层面：机械震动、进水                                                                                                                                                                </t>
        </is>
      </c>
      <c r="F951" s="53" t="inlineStr">
        <is>
          <t>not applicable</t>
        </is>
      </c>
      <c r="G951" s="55" t="n"/>
      <c r="H951" s="47" t="n"/>
      <c r="I951" s="47" t="n"/>
      <c r="J951" s="49" t="n"/>
      <c r="K951" s="49" t="n"/>
      <c r="L951" s="49" t="n"/>
      <c r="M951" s="49" t="n"/>
    </row>
    <row r="952" outlineLevel="1" ht="28.5" customFormat="1" customHeight="1" s="36">
      <c r="A952" s="37">
        <f>A923&amp;"_"&amp;B952</f>
        <v/>
      </c>
      <c r="B952" s="50" t="n">
        <v>28</v>
      </c>
      <c r="C952" s="185" t="n"/>
      <c r="D952" s="185" t="n"/>
      <c r="E952" s="45" t="inlineStr">
        <is>
          <t>Software-level: not applicable for Software
软件层面：不适用于软件</t>
        </is>
      </c>
      <c r="F952" s="53" t="inlineStr">
        <is>
          <t>not applicable</t>
        </is>
      </c>
      <c r="G952" s="55" t="n"/>
      <c r="H952" s="47" t="n"/>
      <c r="I952" s="47" t="n"/>
      <c r="J952" s="49" t="n"/>
      <c r="K952" s="49" t="n"/>
      <c r="L952" s="49" t="n"/>
      <c r="M952" s="49" t="n"/>
    </row>
    <row r="953" outlineLevel="1" ht="43" customFormat="1" customHeight="1" s="36">
      <c r="A953" s="37">
        <f>A923&amp;"_"&amp;B953</f>
        <v/>
      </c>
      <c r="B953" s="42" t="n">
        <v>29</v>
      </c>
      <c r="C953" s="186" t="n"/>
      <c r="D953" s="186" t="n"/>
      <c r="E953" s="45" t="inlineStr">
        <is>
          <t>Hardware-level: under and over voltage of the power supply        
硬件层面：电源的欠压和过压情况</t>
        </is>
      </c>
      <c r="F953" s="53" t="inlineStr">
        <is>
          <t>not applicable</t>
        </is>
      </c>
      <c r="G953" s="55" t="n"/>
      <c r="H953" s="47" t="n"/>
      <c r="I953" s="47" t="n"/>
      <c r="J953" s="49" t="n"/>
      <c r="K953" s="49" t="n"/>
      <c r="L953" s="49" t="n"/>
      <c r="M953" s="49" t="n"/>
    </row>
    <row r="954" outlineLevel="1" ht="72.5" customFormat="1" customHeight="1" s="36">
      <c r="A954" s="37">
        <f>A923&amp;"_"&amp;B954</f>
        <v/>
      </c>
      <c r="B954" s="50" t="n">
        <v>30</v>
      </c>
      <c r="C954" s="187" t="inlineStr">
        <is>
          <t>Unintended impact</t>
        </is>
      </c>
      <c r="D954" s="187" t="inlineStr">
        <is>
          <t>Two functions affecting each other’s elements directly via an implicit, that is unintended interface.</t>
        </is>
      </c>
      <c r="E954" s="45" t="inlineStr">
        <is>
          <t>• Memory / corruption of content*
– “wild pointers“ (including program counter stack)
内存/内容损坏*
——“失控指针”（包括程序计数器栈</t>
        </is>
      </c>
      <c r="F954" s="45" t="inlineStr">
        <is>
          <t xml:space="preserve">Yes </t>
        </is>
      </c>
      <c r="G954" s="62" t="inlineStr">
        <is>
          <t>不违背安全目标</t>
        </is>
      </c>
      <c r="H954" s="47" t="inlineStr">
        <is>
          <t>1：支持硬线制动灯点亮</t>
        </is>
      </c>
      <c r="I954" s="47" t="inlineStr">
        <is>
          <t>SW_DFA_SM_001</t>
        </is>
      </c>
      <c r="J954" s="48" t="inlineStr">
        <is>
          <t>通过集成测试</t>
        </is>
      </c>
      <c r="K954" s="49" t="inlineStr">
        <is>
          <t>满足ASILB开发和测试</t>
        </is>
      </c>
      <c r="L954" s="49" t="n"/>
      <c r="M954" s="49" t="n"/>
    </row>
    <row r="955" outlineLevel="1" ht="29" customFormat="1" customHeight="1" s="36">
      <c r="A955" s="37">
        <f>A923&amp;"_"&amp;B955</f>
        <v/>
      </c>
      <c r="B955" s="42" t="n">
        <v>31</v>
      </c>
      <c r="C955" s="185" t="n"/>
      <c r="D955" s="185" t="n"/>
      <c r="E955" s="45" t="inlineStr">
        <is>
          <t>– memory mis-allocation
——内存分配错误</t>
        </is>
      </c>
      <c r="F955" s="45" t="inlineStr">
        <is>
          <t xml:space="preserve">Yes </t>
        </is>
      </c>
      <c r="G955" s="62" t="inlineStr">
        <is>
          <t>不违背安全目标</t>
        </is>
      </c>
      <c r="H955" s="47" t="inlineStr">
        <is>
          <t>1：支持硬线制动灯点亮</t>
        </is>
      </c>
      <c r="I955" s="47" t="inlineStr">
        <is>
          <t>SW_DFA_SM_001</t>
        </is>
      </c>
      <c r="J955" s="48" t="inlineStr">
        <is>
          <t>通过集成测试</t>
        </is>
      </c>
      <c r="K955" s="49" t="inlineStr">
        <is>
          <t>满足ASILB开发和测试</t>
        </is>
      </c>
      <c r="L955" s="49" t="n"/>
      <c r="M955" s="49" t="n"/>
    </row>
    <row r="956" outlineLevel="1" ht="28.5" customFormat="1" customHeight="1" s="36">
      <c r="A956" s="37">
        <f>A923&amp;"_"&amp;B956</f>
        <v/>
      </c>
      <c r="B956" s="50" t="n">
        <v>32</v>
      </c>
      <c r="C956" s="185" t="n"/>
      <c r="D956" s="185" t="n"/>
      <c r="E956" s="45" t="inlineStr">
        <is>
          <t>– memory leaks
内存泄漏</t>
        </is>
      </c>
      <c r="F956" s="45" t="inlineStr">
        <is>
          <t xml:space="preserve">Yes </t>
        </is>
      </c>
      <c r="G956" s="62" t="inlineStr">
        <is>
          <t>不违背安全目标</t>
        </is>
      </c>
      <c r="H956" s="47" t="inlineStr">
        <is>
          <t>1：支持硬线制动灯点亮</t>
        </is>
      </c>
      <c r="I956" s="47" t="inlineStr">
        <is>
          <t>SW_DFA_SM_001</t>
        </is>
      </c>
      <c r="J956" s="48" t="inlineStr">
        <is>
          <t>通过集成测试</t>
        </is>
      </c>
      <c r="K956" s="49" t="inlineStr">
        <is>
          <t>满足ASILB开发和测试</t>
        </is>
      </c>
      <c r="L956" s="49" t="n"/>
      <c r="M956" s="49" t="n"/>
    </row>
    <row r="957" outlineLevel="1" ht="58" customFormat="1" customHeight="1" s="36">
      <c r="A957" s="37">
        <f>A923&amp;"_"&amp;B957</f>
        <v/>
      </c>
      <c r="B957" s="42" t="n">
        <v>33</v>
      </c>
      <c r="C957" s="185" t="n"/>
      <c r="D957" s="185" t="n"/>
      <c r="E957" s="45" t="inlineStr">
        <is>
          <t>– read/write access to memory allocated to another software element*
—— 对分配给其他软件组件的内存的读/写访问权限*</t>
        </is>
      </c>
      <c r="F957" s="53" t="inlineStr">
        <is>
          <t>not applicable</t>
        </is>
      </c>
      <c r="G957" s="55" t="n"/>
      <c r="H957" s="47" t="n"/>
      <c r="I957" s="47" t="n"/>
      <c r="J957" s="49" t="n"/>
      <c r="K957" s="49" t="n"/>
      <c r="L957" s="49" t="n"/>
      <c r="M957" s="49" t="n"/>
    </row>
    <row r="958" outlineLevel="1" ht="29" customFormat="1" customHeight="1" s="36">
      <c r="A958" s="37">
        <f>A923&amp;"_"&amp;B958</f>
        <v/>
      </c>
      <c r="B958" s="50" t="n">
        <v>34</v>
      </c>
      <c r="C958" s="185" t="n"/>
      <c r="D958" s="185" t="n"/>
      <c r="E958" s="45" t="inlineStr">
        <is>
          <t>– buffer under-/overflow
– 缓冲区下溢/上溢</t>
        </is>
      </c>
      <c r="F958" s="53" t="inlineStr">
        <is>
          <t>not applicable</t>
        </is>
      </c>
      <c r="G958" s="55" t="n"/>
      <c r="H958" s="47" t="n"/>
      <c r="I958" s="47" t="n"/>
      <c r="J958" s="49" t="n"/>
      <c r="K958" s="49" t="n"/>
      <c r="L958" s="49" t="n"/>
      <c r="M958" s="49" t="n"/>
    </row>
    <row r="959" outlineLevel="1" ht="57.5" customFormat="1" customHeight="1" s="36">
      <c r="A959" s="37">
        <f>A923&amp;"_"&amp;B959</f>
        <v/>
      </c>
      <c r="B959" s="42" t="n">
        <v>35</v>
      </c>
      <c r="C959" s="185" t="n"/>
      <c r="D959" s="185" t="n"/>
      <c r="E959" s="45" t="inlineStr">
        <is>
          <t>• Timing and execution
– deadlocks*
时机与执行
——死锁*</t>
        </is>
      </c>
      <c r="F959" s="53" t="inlineStr">
        <is>
          <t>not applicable</t>
        </is>
      </c>
      <c r="G959" s="55" t="n"/>
      <c r="H959" s="47" t="n"/>
      <c r="I959" s="47" t="n"/>
      <c r="J959" s="49" t="n"/>
      <c r="K959" s="49" t="n"/>
      <c r="L959" s="49" t="n"/>
      <c r="M959" s="49" t="n"/>
    </row>
    <row r="960" outlineLevel="1" ht="28.5" customFormat="1" customHeight="1" s="36">
      <c r="A960" s="37">
        <f>A923&amp;"_"&amp;B960</f>
        <v/>
      </c>
      <c r="B960" s="50" t="n">
        <v>36</v>
      </c>
      <c r="C960" s="185" t="n"/>
      <c r="D960" s="185" t="n"/>
      <c r="E960" s="45" t="inlineStr">
        <is>
          <t>– livelocks*
活锁</t>
        </is>
      </c>
      <c r="F960" s="53" t="inlineStr">
        <is>
          <t>not applicable</t>
        </is>
      </c>
      <c r="G960" s="55" t="n"/>
      <c r="H960" s="47" t="n"/>
      <c r="I960" s="47" t="n"/>
      <c r="J960" s="49" t="n"/>
      <c r="K960" s="49" t="n"/>
      <c r="L960" s="49" t="n"/>
      <c r="M960" s="49" t="n"/>
    </row>
    <row r="961" outlineLevel="1" ht="29" customFormat="1" customHeight="1" s="36">
      <c r="A961" s="37">
        <f>A923&amp;"_"&amp;B961</f>
        <v/>
      </c>
      <c r="B961" s="42" t="n">
        <v>37</v>
      </c>
      <c r="C961" s="185" t="n"/>
      <c r="D961" s="185" t="n"/>
      <c r="E961" s="45" t="inlineStr">
        <is>
          <t>– incorrect allocation of execution time*
——执行时间分配不当*</t>
        </is>
      </c>
      <c r="F961" s="53" t="inlineStr">
        <is>
          <t>not applicable</t>
        </is>
      </c>
      <c r="G961" s="55" t="n"/>
      <c r="H961" s="47" t="n"/>
      <c r="I961" s="47" t="n"/>
      <c r="J961" s="49" t="n"/>
      <c r="K961" s="49" t="n"/>
      <c r="L961" s="49" t="n"/>
      <c r="M961" s="49" t="n"/>
    </row>
    <row r="962" outlineLevel="1" ht="43.5" customFormat="1" customHeight="1" s="36">
      <c r="A962" s="37">
        <f>A923&amp;"_"&amp;B962</f>
        <v/>
      </c>
      <c r="B962" s="50" t="n">
        <v>38</v>
      </c>
      <c r="C962" s="186" t="n"/>
      <c r="D962" s="186" t="n"/>
      <c r="E962" s="45" t="inlineStr">
        <is>
          <t>– incorrect synchronization between software elements*
——软件各组成部分之间的同步不正确*</t>
        </is>
      </c>
      <c r="F962" s="53" t="inlineStr">
        <is>
          <t>not applicable</t>
        </is>
      </c>
      <c r="G962" s="46" t="n"/>
      <c r="H962" s="47" t="n"/>
      <c r="I962" s="47" t="n"/>
      <c r="J962" s="48" t="n"/>
      <c r="K962" s="49" t="n"/>
      <c r="L962" s="49" t="n"/>
      <c r="M962" s="49" t="n"/>
    </row>
    <row r="963" outlineLevel="1" ht="72" customFormat="1" customHeight="1" s="36">
      <c r="A963" s="37">
        <f>A923&amp;"_"&amp;B963</f>
        <v/>
      </c>
      <c r="B963" s="42" t="n">
        <v>39</v>
      </c>
      <c r="C963" s="187" t="inlineStr">
        <is>
          <t>Systematic coupling</t>
        </is>
      </c>
      <c r="D963" s="187" t="inlineStr">
        <is>
          <t>Systematic causes from human or tool errors can lead to the simultaneous failure of more than one function</t>
        </is>
      </c>
      <c r="E963" s="45" t="inlineStr">
        <is>
          <t>• Manufacturing fault / repair fault (e.g. false flashing, false calibration reference for sensors)
制造故障/维修故障（例如：错误的闪烁现象、传感器的错误校准参考值）</t>
        </is>
      </c>
      <c r="F963" s="53" t="inlineStr">
        <is>
          <t>not applicable</t>
        </is>
      </c>
      <c r="G963" s="55" t="n"/>
      <c r="H963" s="47" t="n"/>
      <c r="I963" s="47" t="n"/>
      <c r="J963" s="49" t="n"/>
      <c r="K963" s="49" t="n"/>
      <c r="L963" s="49" t="n"/>
      <c r="M963" s="49" t="n"/>
    </row>
    <row r="964" outlineLevel="1" ht="115.5" customFormat="1" customHeight="1" s="36">
      <c r="A964" s="37">
        <f>A923&amp;"_"&amp;B964</f>
        <v/>
      </c>
      <c r="B964" s="50" t="n">
        <v>40</v>
      </c>
      <c r="C964" s="185" t="n"/>
      <c r="D964" s="185" t="n"/>
      <c r="E964" s="61" t="inlineStr">
        <is>
          <t xml:space="preserve">• Non-diverse development approaches including:
– same software tools (e.g. IDE, compiler, linker)
非多元化的发展方式包括：
——相同的软件工具（例如集成开发环境、编译器、链接器）
</t>
        </is>
      </c>
      <c r="F964" s="45" t="inlineStr">
        <is>
          <t xml:space="preserve">Yes </t>
        </is>
      </c>
      <c r="G964" s="62" t="inlineStr">
        <is>
          <t>代码异常导致的违背安全目标</t>
        </is>
      </c>
      <c r="H964" s="63" t="inlineStr">
        <is>
          <t>工具鉴定</t>
        </is>
      </c>
      <c r="I964" s="63" t="n"/>
      <c r="J964" s="49" t="inlineStr">
        <is>
          <t>通过集成测试</t>
        </is>
      </c>
      <c r="K964" s="68" t="inlineStr">
        <is>
          <t>满足ASILB开发和测试</t>
        </is>
      </c>
      <c r="L964" s="68" t="n"/>
      <c r="M964" s="49" t="n"/>
    </row>
    <row r="965" outlineLevel="1" ht="28.5" customFormat="1" customHeight="1" s="36">
      <c r="A965" s="37">
        <f>A923&amp;"_"&amp;B965</f>
        <v/>
      </c>
      <c r="B965" s="42" t="n">
        <v>41</v>
      </c>
      <c r="C965" s="185" t="n"/>
      <c r="D965" s="185" t="n"/>
      <c r="E965" s="61" t="inlineStr">
        <is>
          <t>– same algorithms
相同的算法</t>
        </is>
      </c>
      <c r="F965" s="53" t="inlineStr">
        <is>
          <t>not applicable</t>
        </is>
      </c>
      <c r="G965" s="54" t="n"/>
      <c r="H965" s="47" t="n"/>
      <c r="I965" s="47" t="n"/>
      <c r="J965" s="48" t="n"/>
      <c r="K965" s="49" t="n"/>
      <c r="L965" s="49" t="n"/>
      <c r="M965" s="49" t="n"/>
    </row>
    <row r="966" outlineLevel="1" ht="43.5" customFormat="1" customHeight="1" s="36">
      <c r="A966" s="37">
        <f>A923&amp;"_"&amp;B966</f>
        <v/>
      </c>
      <c r="B966" s="50" t="n">
        <v>42</v>
      </c>
      <c r="C966" s="185" t="n"/>
      <c r="D966" s="185" t="n"/>
      <c r="E966" s="61" t="inlineStr">
        <is>
          <t>– same programming and/or modelling language used
所使用的编程和/或建模语言相同</t>
        </is>
      </c>
      <c r="F966" s="45" t="inlineStr">
        <is>
          <t xml:space="preserve">Yes </t>
        </is>
      </c>
      <c r="G966" s="62" t="inlineStr">
        <is>
          <t>代码异常导致的违背安全目标</t>
        </is>
      </c>
      <c r="H966" s="63" t="inlineStr">
        <is>
          <t>工具鉴定</t>
        </is>
      </c>
      <c r="I966" s="47" t="n"/>
      <c r="J966" s="49" t="inlineStr">
        <is>
          <t>通过集成测试</t>
        </is>
      </c>
      <c r="K966" s="49" t="inlineStr">
        <is>
          <t>满足ASILB开发和测试</t>
        </is>
      </c>
      <c r="L966" s="49" t="n"/>
      <c r="M966" s="49" t="n"/>
    </row>
    <row r="967" outlineLevel="1" ht="29" customFormat="1" customHeight="1" s="36">
      <c r="A967" s="37">
        <f>A923&amp;"_"&amp;B967</f>
        <v/>
      </c>
      <c r="B967" s="42" t="n">
        <v>43</v>
      </c>
      <c r="C967" s="185" t="n"/>
      <c r="D967" s="185" t="n"/>
      <c r="E967" s="61" t="inlineStr">
        <is>
          <t>– same complier/linker used
使用的是相同的编译器/链接器</t>
        </is>
      </c>
      <c r="F967" s="45" t="inlineStr">
        <is>
          <t xml:space="preserve">Yes </t>
        </is>
      </c>
      <c r="G967" s="62" t="inlineStr">
        <is>
          <t>代码异常导致的违背安全目标</t>
        </is>
      </c>
      <c r="H967" s="63" t="inlineStr">
        <is>
          <t>工具鉴定</t>
        </is>
      </c>
      <c r="I967" s="47" t="n"/>
      <c r="J967" s="49" t="inlineStr">
        <is>
          <t>通过集成测试</t>
        </is>
      </c>
      <c r="K967" s="49" t="inlineStr">
        <is>
          <t>满足ASILB开发和测试</t>
        </is>
      </c>
      <c r="L967" s="49" t="n"/>
      <c r="M967" s="49" t="n"/>
    </row>
    <row r="968" outlineLevel="1" ht="28.5" customFormat="1" customHeight="1" s="36">
      <c r="A968" s="37">
        <f>A923&amp;"_"&amp;B968</f>
        <v/>
      </c>
      <c r="B968" s="50" t="n">
        <v>44</v>
      </c>
      <c r="C968" s="185" t="n"/>
      <c r="D968" s="185" t="n"/>
      <c r="E968" s="45" t="inlineStr">
        <is>
          <t>• Same personnel
相同人员</t>
        </is>
      </c>
      <c r="F968" s="53" t="inlineStr">
        <is>
          <t>not applicable</t>
        </is>
      </c>
      <c r="G968" s="55" t="n"/>
      <c r="H968" s="47" t="n"/>
      <c r="I968" s="47" t="n"/>
      <c r="J968" s="49" t="n"/>
      <c r="K968" s="49" t="n"/>
      <c r="L968" s="49" t="n"/>
      <c r="M968" s="49" t="n"/>
    </row>
    <row r="969" outlineLevel="1" ht="57" customFormat="1" customHeight="1" s="36">
      <c r="A969" s="37">
        <f>A923&amp;"_"&amp;B969</f>
        <v/>
      </c>
      <c r="B969" s="42" t="n">
        <v>45</v>
      </c>
      <c r="C969" s="185" t="n"/>
      <c r="D969" s="185" t="n"/>
      <c r="E969" s="45" t="inlineStr">
        <is>
          <t>• Same social-cultural context (even if different personnel)
相同的社会文化背景（即便人员有所不同）</t>
        </is>
      </c>
      <c r="F969" s="53" t="inlineStr">
        <is>
          <t>not applicable</t>
        </is>
      </c>
      <c r="G969" s="55" t="n"/>
      <c r="H969" s="47" t="n"/>
      <c r="I969" s="47" t="n"/>
      <c r="J969" s="49" t="n"/>
      <c r="K969" s="49" t="n"/>
      <c r="L969" s="49" t="n"/>
      <c r="M969" s="49" t="n"/>
    </row>
    <row r="970" outlineLevel="1" ht="57.5" customFormat="1" customHeight="1" s="36">
      <c r="A970" s="37">
        <f>A923&amp;"_"&amp;B970</f>
        <v/>
      </c>
      <c r="B970" s="50" t="n">
        <v>46</v>
      </c>
      <c r="C970" s="185" t="n"/>
      <c r="D970" s="185" t="n"/>
      <c r="E970" s="45" t="inlineStr">
        <is>
          <t>• Development fault, e.g.
– human error
开发失误，例如：
– 人为错误</t>
        </is>
      </c>
      <c r="F970" s="53" t="inlineStr">
        <is>
          <t>not applicable</t>
        </is>
      </c>
      <c r="G970" s="55" t="n"/>
      <c r="H970" s="47" t="n"/>
      <c r="I970" s="47" t="n"/>
      <c r="J970" s="49" t="n"/>
      <c r="K970" s="49" t="n"/>
      <c r="L970" s="49" t="n"/>
      <c r="M970" s="49" t="n"/>
    </row>
    <row r="971" outlineLevel="1" ht="28.5" customFormat="1" customHeight="1" s="36">
      <c r="A971" s="37">
        <f>A923&amp;"_"&amp;B971</f>
        <v/>
      </c>
      <c r="B971" s="42" t="n">
        <v>47</v>
      </c>
      <c r="C971" s="185" t="n"/>
      <c r="D971" s="185" t="n"/>
      <c r="E971" s="45" t="inlineStr">
        <is>
          <t>– insufficiently qualified personnel
资质不足的人员</t>
        </is>
      </c>
      <c r="F971" s="53" t="inlineStr">
        <is>
          <t>not applicable</t>
        </is>
      </c>
      <c r="G971" s="55" t="n"/>
      <c r="H971" s="47" t="n"/>
      <c r="I971" s="47" t="n"/>
      <c r="J971" s="49" t="n"/>
      <c r="K971" s="49" t="n"/>
      <c r="L971" s="49" t="n"/>
      <c r="M971" s="49" t="n"/>
    </row>
    <row r="972" outlineLevel="1" ht="28.5" customFormat="1" customHeight="1" s="36">
      <c r="A972" s="37">
        <f>A923&amp;"_"&amp;B972</f>
        <v/>
      </c>
      <c r="B972" s="50" t="n">
        <v>48</v>
      </c>
      <c r="C972" s="185" t="n"/>
      <c r="D972" s="185" t="n"/>
      <c r="E972" s="45" t="inlineStr">
        <is>
          <t>– process weaknesses
处理弱点</t>
        </is>
      </c>
      <c r="F972" s="53" t="inlineStr">
        <is>
          <t>not applicable</t>
        </is>
      </c>
      <c r="G972" s="55" t="n"/>
      <c r="H972" s="47" t="n"/>
      <c r="I972" s="47" t="n"/>
      <c r="J972" s="49" t="n"/>
      <c r="K972" s="49" t="n"/>
      <c r="L972" s="49" t="n"/>
      <c r="M972" s="49" t="n"/>
    </row>
    <row r="973" outlineLevel="1" ht="26" customFormat="1" customHeight="1" s="36">
      <c r="A973" s="37">
        <f>A923&amp;"_"&amp;B973</f>
        <v/>
      </c>
      <c r="B973" s="42" t="n">
        <v>49</v>
      </c>
      <c r="C973" s="186" t="n"/>
      <c r="D973" s="186" t="n"/>
      <c r="E973" s="45" t="inlineStr">
        <is>
          <t>– insufficient methods方法不足</t>
        </is>
      </c>
      <c r="F973" s="53" t="inlineStr">
        <is>
          <t>not applicable</t>
        </is>
      </c>
      <c r="G973" s="55" t="n"/>
      <c r="H973" s="47" t="n"/>
      <c r="I973" s="47" t="n"/>
      <c r="J973" s="49" t="n"/>
      <c r="K973" s="49" t="n"/>
      <c r="L973" s="49" t="n"/>
      <c r="M973" s="49" t="n"/>
    </row>
    <row r="974" ht="75" customFormat="1" customHeight="1" s="36">
      <c r="A974" s="67">
        <f>'Top Event'!B23</f>
        <v/>
      </c>
      <c r="B974" s="67" t="n"/>
      <c r="C974" s="67">
        <f>'Top Event'!C23</f>
        <v/>
      </c>
      <c r="D974" s="69">
        <f>'Top Event'!D23</f>
        <v/>
      </c>
      <c r="E974" s="67">
        <f>'Top Event'!E23</f>
        <v/>
      </c>
      <c r="F974" s="66" t="n"/>
      <c r="G974" s="66" t="n"/>
      <c r="H974" s="64" t="n"/>
      <c r="I974" s="64" t="n"/>
      <c r="J974" s="36" t="n"/>
      <c r="K974" s="36" t="n"/>
      <c r="L974" s="36" t="n"/>
      <c r="M974" s="36" t="n"/>
    </row>
    <row r="975" ht="37.25" customFormat="1" customHeight="1" s="36">
      <c r="A975" s="37" t="n"/>
      <c r="B975" s="37" t="n"/>
      <c r="C975" s="38" t="inlineStr">
        <is>
          <t>DF-I Category</t>
        </is>
      </c>
      <c r="D975" s="38" t="inlineStr">
        <is>
          <t>Interpretation</t>
        </is>
      </c>
      <c r="E975" s="38" t="inlineStr">
        <is>
          <t>DF-Initiator Examples</t>
        </is>
      </c>
      <c r="F975" s="38" t="inlineStr">
        <is>
          <t>Applicable?</t>
        </is>
      </c>
      <c r="G975" s="38" t="inlineStr">
        <is>
          <t>safety  goal related</t>
        </is>
      </c>
      <c r="H975" s="39" t="inlineStr">
        <is>
          <t>Counter Measure</t>
        </is>
      </c>
      <c r="I975" s="39" t="inlineStr">
        <is>
          <t>Counter Measure ID</t>
        </is>
      </c>
      <c r="J975" s="38" t="inlineStr">
        <is>
          <t>Evidence</t>
        </is>
      </c>
      <c r="K975" s="38" t="inlineStr">
        <is>
          <t>sufficient?</t>
        </is>
      </c>
      <c r="L975" s="38" t="n"/>
      <c r="M975" s="41" t="inlineStr">
        <is>
          <t>Comment</t>
        </is>
      </c>
    </row>
    <row r="976" outlineLevel="1" ht="86" customFormat="1" customHeight="1" s="36">
      <c r="A976" s="37">
        <f>A974&amp;"_"&amp;B976</f>
        <v/>
      </c>
      <c r="B976" s="42" t="n">
        <v>1</v>
      </c>
      <c r="C976" s="183" t="inlineStr">
        <is>
          <t>Shared resource</t>
        </is>
      </c>
      <c r="D976" s="184" t="inlineStr">
        <is>
          <t>The same software, hardware, or system element instance used by the two elements which are therefore affected by the failure or unavailability of that shared resource, i.e. from a physical perspective.</t>
        </is>
      </c>
      <c r="E976" s="45" t="inlineStr">
        <is>
          <t>Software component used by more than one other software component, e.g.
– reused standard software modules
被多个其他软件组件所使用的软件组件，例如：
– 重复使用的标准软件模块</t>
        </is>
      </c>
      <c r="F976" s="53" t="inlineStr">
        <is>
          <t>not applicable</t>
        </is>
      </c>
      <c r="G976" s="55" t="n"/>
      <c r="H976" s="47" t="n"/>
      <c r="I976" s="47" t="n"/>
      <c r="J976" s="49" t="n"/>
      <c r="K976" s="49" t="n"/>
      <c r="L976" s="49" t="n"/>
      <c r="M976" s="49" t="n"/>
    </row>
    <row r="977" outlineLevel="1" ht="28.5" customFormat="1" customHeight="1" s="36">
      <c r="A977" s="37">
        <f>A974&amp;"_"&amp;B977</f>
        <v/>
      </c>
      <c r="B977" s="50" t="n">
        <v>2</v>
      </c>
      <c r="C977" s="185" t="n"/>
      <c r="D977" s="185" t="n"/>
      <c r="E977" s="45" t="inlineStr">
        <is>
          <t>– libraries
库</t>
        </is>
      </c>
      <c r="F977" s="53" t="inlineStr">
        <is>
          <t>not applicable</t>
        </is>
      </c>
      <c r="G977" s="55" t="n"/>
      <c r="H977" s="47" t="n"/>
      <c r="I977" s="47" t="n"/>
      <c r="J977" s="49" t="n"/>
      <c r="K977" s="49" t="n"/>
      <c r="L977" s="49" t="n"/>
      <c r="M977" s="49" t="n"/>
    </row>
    <row r="978" outlineLevel="1" ht="28.5" customFormat="1" customHeight="1" s="36">
      <c r="A978" s="37">
        <f>A974&amp;"_"&amp;B978</f>
        <v/>
      </c>
      <c r="B978" s="42" t="n">
        <v>3</v>
      </c>
      <c r="C978" s="185" t="n"/>
      <c r="D978" s="185" t="n"/>
      <c r="E978" s="45" t="inlineStr">
        <is>
          <t>– middleware
中间件</t>
        </is>
      </c>
      <c r="F978" s="53" t="inlineStr">
        <is>
          <t>not applicable</t>
        </is>
      </c>
      <c r="G978" s="55" t="n"/>
      <c r="H978" s="47" t="n"/>
      <c r="I978" s="47" t="n"/>
      <c r="J978" s="49" t="n"/>
      <c r="K978" s="49" t="n"/>
      <c r="L978" s="49" t="n"/>
      <c r="M978" s="49" t="n"/>
    </row>
    <row r="979" outlineLevel="1" ht="28.5" customFormat="1" customHeight="1" s="36">
      <c r="A979" s="37">
        <f>A974&amp;"_"&amp;B979</f>
        <v/>
      </c>
      <c r="B979" s="50" t="n">
        <v>4</v>
      </c>
      <c r="C979" s="185" t="n"/>
      <c r="D979" s="185" t="n"/>
      <c r="E979" s="45" t="inlineStr">
        <is>
          <t>– basic software
基本软件</t>
        </is>
      </c>
      <c r="F979" s="53" t="inlineStr">
        <is>
          <t>not applicable</t>
        </is>
      </c>
      <c r="G979" s="46" t="n"/>
      <c r="H979" s="47" t="n"/>
      <c r="I979" s="47" t="n"/>
      <c r="J979" s="48" t="n"/>
      <c r="K979" s="49" t="n"/>
      <c r="L979" s="49" t="n"/>
      <c r="M979" s="49" t="n"/>
    </row>
    <row r="980" outlineLevel="1" ht="43.5" customFormat="1" customHeight="1" s="36">
      <c r="A980" s="37">
        <f>A974&amp;"_"&amp;B980</f>
        <v/>
      </c>
      <c r="B980" s="42" t="n">
        <v>5</v>
      </c>
      <c r="C980" s="185" t="n"/>
      <c r="D980" s="185" t="n"/>
      <c r="E980" s="45" t="inlineStr">
        <is>
          <t xml:space="preserve">– operating system including scheduler
——包含调度器的操作系统
</t>
        </is>
      </c>
      <c r="F980" s="53" t="inlineStr">
        <is>
          <t>not applicable</t>
        </is>
      </c>
      <c r="G980" s="55" t="n"/>
      <c r="H980" s="47" t="n"/>
      <c r="I980" s="47" t="n"/>
      <c r="J980" s="49" t="n"/>
      <c r="K980" s="49" t="n"/>
      <c r="L980" s="49" t="n"/>
      <c r="M980" s="49" t="n"/>
    </row>
    <row r="981" outlineLevel="1" ht="28.5" customFormat="1" customHeight="1" s="36">
      <c r="A981" s="37">
        <f>A974&amp;"_"&amp;B981</f>
        <v/>
      </c>
      <c r="B981" s="50" t="n">
        <v>6</v>
      </c>
      <c r="C981" s="185" t="n"/>
      <c r="D981" s="185" t="n"/>
      <c r="E981" s="45" t="inlineStr">
        <is>
          <t>– communication stack
通信协议栈</t>
        </is>
      </c>
      <c r="F981" s="53" t="inlineStr">
        <is>
          <t>not applicable</t>
        </is>
      </c>
      <c r="G981" s="46" t="n"/>
      <c r="H981" s="47" t="n"/>
      <c r="I981" s="47" t="n"/>
      <c r="J981" s="48" t="n"/>
      <c r="K981" s="49" t="n"/>
      <c r="L981" s="49" t="n"/>
      <c r="M981" s="49" t="n"/>
    </row>
    <row r="982" outlineLevel="1" ht="29" customFormat="1" customHeight="1" s="36">
      <c r="A982" s="37">
        <f>A974&amp;"_"&amp;B982</f>
        <v/>
      </c>
      <c r="B982" s="42" t="n">
        <v>7</v>
      </c>
      <c r="C982" s="185" t="n"/>
      <c r="D982" s="185" t="n"/>
      <c r="E982" s="45" t="inlineStr">
        <is>
          <t xml:space="preserve">– parameter file参数文件
</t>
        </is>
      </c>
      <c r="F982" s="53" t="inlineStr">
        <is>
          <t>not applicable</t>
        </is>
      </c>
      <c r="G982" s="55" t="n"/>
      <c r="H982" s="47" t="n"/>
      <c r="I982" s="47" t="n"/>
      <c r="J982" s="49" t="n"/>
      <c r="K982" s="49" t="n"/>
      <c r="L982" s="49" t="n"/>
      <c r="M982" s="49" t="n"/>
    </row>
    <row r="983" outlineLevel="1" ht="28.5" customFormat="1" customHeight="1" s="36">
      <c r="A983" s="37">
        <f>A974&amp;"_"&amp;B983</f>
        <v/>
      </c>
      <c r="B983" s="50" t="n">
        <v>8</v>
      </c>
      <c r="C983" s="185" t="n"/>
      <c r="D983" s="185" t="n"/>
      <c r="E983" s="45" t="inlineStr">
        <is>
          <t>– execution time
执行时间</t>
        </is>
      </c>
      <c r="F983" s="53" t="inlineStr">
        <is>
          <t>not applicable</t>
        </is>
      </c>
      <c r="G983" s="55" t="n"/>
      <c r="H983" s="47" t="n"/>
      <c r="I983" s="47" t="n"/>
      <c r="J983" s="49" t="n"/>
      <c r="K983" s="49" t="n"/>
      <c r="L983" s="49" t="n"/>
      <c r="M983" s="49" t="n"/>
    </row>
    <row r="984" outlineLevel="1" ht="26" customFormat="1" customHeight="1" s="36">
      <c r="A984" s="37">
        <f>A974&amp;"_"&amp;B984</f>
        <v/>
      </c>
      <c r="B984" s="42" t="n">
        <v>9</v>
      </c>
      <c r="C984" s="186" t="n"/>
      <c r="D984" s="186" t="n"/>
      <c r="E984" s="45" t="inlineStr">
        <is>
          <t>– allocated memory</t>
        </is>
      </c>
      <c r="F984" s="53" t="inlineStr">
        <is>
          <t>not applicable</t>
        </is>
      </c>
      <c r="G984" s="55" t="n"/>
      <c r="H984" s="47" t="n"/>
      <c r="I984" s="47" t="n"/>
      <c r="J984" s="49" t="n"/>
      <c r="K984" s="49" t="n"/>
      <c r="L984" s="49" t="n"/>
      <c r="M984" s="49" t="n"/>
    </row>
    <row r="985" outlineLevel="1" ht="28.5" customFormat="1" customHeight="1" s="36">
      <c r="A985" s="37">
        <f>A974&amp;"_"&amp;B985</f>
        <v/>
      </c>
      <c r="B985" s="50" t="n">
        <v>10</v>
      </c>
      <c r="C985" s="187" t="inlineStr">
        <is>
          <t>Components of
identical type</t>
        </is>
      </c>
      <c r="D985" s="187" t="inlineStr">
        <is>
          <t>Identical components may fail with higher probability simultaneously (common mode failures)</t>
        </is>
      </c>
      <c r="E985" s="45" t="inlineStr">
        <is>
          <t>• Reused standard software modules
重复使用的标准软件模块</t>
        </is>
      </c>
      <c r="F985" s="53" t="inlineStr">
        <is>
          <t>not applicable</t>
        </is>
      </c>
      <c r="G985" s="46" t="n"/>
      <c r="H985" s="47" t="n"/>
      <c r="I985" s="47" t="n"/>
      <c r="J985" s="48" t="n"/>
      <c r="K985" s="49" t="n"/>
      <c r="L985" s="49" t="n"/>
      <c r="M985" s="49" t="n"/>
    </row>
    <row r="986" outlineLevel="1" ht="28.5" customFormat="1" customHeight="1" s="36">
      <c r="A986" s="37">
        <f>A974&amp;"_"&amp;B986</f>
        <v/>
      </c>
      <c r="B986" s="42" t="n">
        <v>11</v>
      </c>
      <c r="C986" s="185" t="n"/>
      <c r="D986" s="185" t="n"/>
      <c r="E986" s="45" t="inlineStr">
        <is>
          <t>• Standard library components
标准库组件</t>
        </is>
      </c>
      <c r="F986" s="53" t="inlineStr">
        <is>
          <t>not applicable</t>
        </is>
      </c>
      <c r="G986" s="46" t="n"/>
      <c r="H986" s="47" t="n"/>
      <c r="I986" s="47" t="n"/>
      <c r="J986" s="48" t="n"/>
      <c r="K986" s="49" t="n"/>
      <c r="L986" s="49" t="n"/>
      <c r="M986" s="49" t="n"/>
    </row>
    <row r="987" outlineLevel="1" ht="28.5" customFormat="1" customHeight="1" s="36">
      <c r="A987" s="37">
        <f>A974&amp;"_"&amp;B987</f>
        <v/>
      </c>
      <c r="B987" s="50" t="n">
        <v>12</v>
      </c>
      <c r="C987" s="185" t="n"/>
      <c r="D987" s="185" t="n"/>
      <c r="E987" s="45" t="inlineStr">
        <is>
          <t>• Middleware
中间件</t>
        </is>
      </c>
      <c r="F987" s="53" t="inlineStr">
        <is>
          <t>not applicable</t>
        </is>
      </c>
      <c r="G987" s="55" t="n"/>
      <c r="H987" s="47" t="n"/>
      <c r="I987" s="47" t="n"/>
      <c r="J987" s="49" t="n"/>
      <c r="K987" s="49" t="n"/>
      <c r="L987" s="49" t="n"/>
      <c r="M987" s="49" t="n"/>
    </row>
    <row r="988" outlineLevel="1" ht="28.5" customFormat="1" customHeight="1" s="36">
      <c r="A988" s="37">
        <f>A974&amp;"_"&amp;B988</f>
        <v/>
      </c>
      <c r="B988" s="42" t="n">
        <v>13</v>
      </c>
      <c r="C988" s="185" t="n"/>
      <c r="D988" s="185" t="n"/>
      <c r="E988" s="45" t="inlineStr">
        <is>
          <t>• Operating system
操作系统</t>
        </is>
      </c>
      <c r="F988" s="53" t="inlineStr">
        <is>
          <t>not applicable</t>
        </is>
      </c>
      <c r="G988" s="55" t="n"/>
      <c r="H988" s="47" t="n"/>
      <c r="I988" s="47" t="n"/>
      <c r="J988" s="49" t="n"/>
      <c r="K988" s="49" t="n"/>
      <c r="L988" s="49" t="n"/>
      <c r="M988" s="49" t="n"/>
    </row>
    <row r="989" outlineLevel="1" ht="28.5" customFormat="1" customHeight="1" s="36">
      <c r="A989" s="37">
        <f>A974&amp;"_"&amp;B989</f>
        <v/>
      </c>
      <c r="B989" s="50" t="n">
        <v>14</v>
      </c>
      <c r="C989" s="185" t="n"/>
      <c r="D989" s="185" t="n"/>
      <c r="E989" s="45" t="inlineStr">
        <is>
          <t>• Communication stack
通信栈</t>
        </is>
      </c>
      <c r="F989" s="45" t="inlineStr">
        <is>
          <t xml:space="preserve">Yes </t>
        </is>
      </c>
      <c r="G989" s="62" t="inlineStr">
        <is>
          <t>不违背安全目标</t>
        </is>
      </c>
      <c r="H989" s="47" t="inlineStr">
        <is>
          <t>通信丢失检测及安全降级</t>
        </is>
      </c>
      <c r="I989" s="47" t="inlineStr">
        <is>
          <t>SW_DFA_SM_003</t>
        </is>
      </c>
      <c r="J989" s="49" t="inlineStr">
        <is>
          <t>通过集成测试</t>
        </is>
      </c>
      <c r="K989" s="49" t="inlineStr">
        <is>
          <t>满足ASILB开发和测试</t>
        </is>
      </c>
      <c r="L989" s="49" t="n"/>
      <c r="M989" s="49" t="n"/>
    </row>
    <row r="990" outlineLevel="1" ht="58" customFormat="1" customHeight="1" s="36">
      <c r="A990" s="37">
        <f>A974&amp;"_"&amp;B990</f>
        <v/>
      </c>
      <c r="B990" s="42" t="n">
        <v>15</v>
      </c>
      <c r="C990" s="186" t="n"/>
      <c r="D990" s="186" t="n"/>
      <c r="E990" s="45" t="inlineStr">
        <is>
          <t xml:space="preserve">
• Parameter set
参数设置
</t>
        </is>
      </c>
      <c r="F990" s="53" t="inlineStr">
        <is>
          <t>not applicable</t>
        </is>
      </c>
      <c r="G990" s="55" t="n"/>
      <c r="H990" s="47" t="n"/>
      <c r="I990" s="47" t="n"/>
      <c r="J990" s="49" t="n"/>
      <c r="K990" s="49" t="n"/>
      <c r="L990" s="49" t="n"/>
      <c r="M990" s="49" t="n"/>
    </row>
    <row r="991" outlineLevel="1" ht="100.5" customFormat="1" customHeight="1" s="36">
      <c r="A991" s="37">
        <f>A974&amp;"_"&amp;B991</f>
        <v/>
      </c>
      <c r="B991" s="50" t="n">
        <v>16</v>
      </c>
      <c r="C991" s="187" t="inlineStr">
        <is>
          <t>Communication
between the two
functions</t>
        </is>
      </c>
      <c r="D991" s="184" t="inlineStr">
        <is>
          <t>Receiving function is affected by information that is false, lost, sent multiple times, or in the wrong order etc. from the sender</t>
        </is>
      </c>
      <c r="E991"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991" s="53" t="inlineStr">
        <is>
          <t>not applicable</t>
        </is>
      </c>
      <c r="G991" s="62" t="n"/>
      <c r="H991" s="47" t="n"/>
      <c r="I991" s="47" t="n"/>
      <c r="J991" s="48" t="n"/>
      <c r="K991" s="49" t="n"/>
      <c r="L991" s="49" t="n"/>
      <c r="M991" s="49" t="n"/>
    </row>
    <row r="992" outlineLevel="1" ht="72.5" customFormat="1" customHeight="1" s="36">
      <c r="A992" s="37">
        <f>A974&amp;"_"&amp;B992</f>
        <v/>
      </c>
      <c r="B992" s="42" t="n">
        <v>17</v>
      </c>
      <c r="C992" s="185" t="n"/>
      <c r="D992" s="185" t="n"/>
      <c r="E992" s="45" t="inlineStr">
        <is>
          <t>• Data or message corruption/ repetition*/ loss*/ delay*/ masquerading or incorrect addressing of information*
数据或信息的损坏/重复/丢失/延迟/伪装或信息的错误标识*</t>
        </is>
      </c>
      <c r="F992" s="53" t="inlineStr">
        <is>
          <t>not applicable</t>
        </is>
      </c>
      <c r="G992" s="55" t="n"/>
      <c r="H992" s="47" t="n"/>
      <c r="I992" s="47" t="n"/>
      <c r="J992" s="49" t="n"/>
      <c r="K992" s="49" t="n"/>
      <c r="L992" s="49" t="n"/>
      <c r="M992" s="49" t="n"/>
    </row>
    <row r="993" outlineLevel="1" ht="49" customFormat="1" customHeight="1" s="36">
      <c r="A993" s="37">
        <f>A974&amp;"_"&amp;B993</f>
        <v/>
      </c>
      <c r="B993" s="50" t="n">
        <v>18</v>
      </c>
      <c r="C993" s="185" t="n"/>
      <c r="D993" s="185" t="n"/>
      <c r="E993" s="45" t="inlineStr">
        <is>
          <t>• Insertion*/ sequence of information*
插入* / 信息序列*</t>
        </is>
      </c>
      <c r="F993" s="53" t="inlineStr">
        <is>
          <t>not applicable</t>
        </is>
      </c>
      <c r="G993" s="55" t="n"/>
      <c r="H993" s="47" t="n"/>
      <c r="I993" s="47" t="n"/>
      <c r="J993" s="49" t="n"/>
      <c r="K993" s="49" t="n"/>
      <c r="L993" s="49" t="n"/>
      <c r="M993" s="49" t="n"/>
    </row>
    <row r="994" outlineLevel="1" ht="48" customFormat="1" customHeight="1" s="36">
      <c r="A994" s="37">
        <f>A974&amp;"_"&amp;B994</f>
        <v/>
      </c>
      <c r="B994" s="42" t="n">
        <v>19</v>
      </c>
      <c r="C994" s="185" t="n"/>
      <c r="D994" s="185" t="n"/>
      <c r="E994" s="45" t="inlineStr">
        <is>
          <t>• Corruption of information*
信息的失真*</t>
        </is>
      </c>
      <c r="F994" s="53" t="inlineStr">
        <is>
          <t>not applicable</t>
        </is>
      </c>
      <c r="G994" s="55" t="n"/>
      <c r="H994" s="47" t="n"/>
      <c r="I994" s="47" t="n"/>
      <c r="J994" s="49" t="n"/>
      <c r="K994" s="49" t="n"/>
      <c r="L994" s="49" t="n"/>
      <c r="M994" s="49" t="n"/>
    </row>
    <row r="995" outlineLevel="1" ht="48" customFormat="1" customHeight="1" s="36">
      <c r="A995" s="37">
        <f>A974&amp;"_"&amp;B995</f>
        <v/>
      </c>
      <c r="B995" s="50" t="n">
        <v>20</v>
      </c>
      <c r="C995" s="185" t="n"/>
      <c r="D995" s="185" t="n"/>
      <c r="E995" s="45" t="inlineStr">
        <is>
          <t>• Asymmetric information sent from a sender to multiple receivers*
从发送者传向多个接收者的不对称信息*</t>
        </is>
      </c>
      <c r="F995" s="53" t="inlineStr">
        <is>
          <t>not applicable</t>
        </is>
      </c>
      <c r="G995" s="55" t="n"/>
      <c r="H995" s="47" t="n"/>
      <c r="I995" s="47" t="n"/>
      <c r="J995" s="49" t="n"/>
      <c r="K995" s="49" t="n"/>
      <c r="L995" s="49" t="n"/>
      <c r="M995" s="49" t="n"/>
    </row>
    <row r="996" outlineLevel="1" ht="48" customFormat="1" customHeight="1" s="36">
      <c r="A996" s="37">
        <f>A974&amp;"_"&amp;B996</f>
        <v/>
      </c>
      <c r="B996" s="42" t="n">
        <v>21</v>
      </c>
      <c r="C996" s="185" t="n"/>
      <c r="D996" s="185" t="n"/>
      <c r="E996" s="45" t="inlineStr">
        <is>
          <t>• Information from a sender received by only a subset of the receivers*
仅部分接收者接收到的来自发送者的信息*</t>
        </is>
      </c>
      <c r="F996" s="53" t="inlineStr">
        <is>
          <t>not applicable</t>
        </is>
      </c>
      <c r="G996" s="55" t="n"/>
      <c r="H996" s="47" t="n"/>
      <c r="I996" s="47" t="n"/>
      <c r="J996" s="49" t="n"/>
      <c r="K996" s="49" t="n"/>
      <c r="L996" s="49" t="n"/>
      <c r="M996" s="49" t="n"/>
    </row>
    <row r="997" outlineLevel="1" ht="43.5" customFormat="1" customHeight="1" s="36">
      <c r="A997" s="37">
        <f>A974&amp;"_"&amp;B997</f>
        <v/>
      </c>
      <c r="B997" s="50" t="n">
        <v>22</v>
      </c>
      <c r="C997" s="186" t="n"/>
      <c r="D997" s="186" t="n"/>
      <c r="E997" s="45" t="inlineStr">
        <is>
          <t>• Blocking access to a communication channel*
阻止对通信通道的访问*</t>
        </is>
      </c>
      <c r="F997" s="53" t="inlineStr">
        <is>
          <t>not applicable</t>
        </is>
      </c>
      <c r="G997" s="46" t="n"/>
      <c r="H997" s="47" t="n"/>
      <c r="I997" s="47" t="n"/>
      <c r="J997" s="48" t="n"/>
      <c r="K997" s="49" t="n"/>
      <c r="L997" s="49" t="n"/>
      <c r="M997" s="49" t="n"/>
    </row>
    <row r="998" outlineLevel="1" ht="45" customFormat="1" customHeight="1" s="36">
      <c r="A998" s="37">
        <f>A974&amp;"_"&amp;B998</f>
        <v/>
      </c>
      <c r="B998" s="42" t="n">
        <v>23</v>
      </c>
      <c r="C998" s="187" t="inlineStr">
        <is>
          <t>Shared information
inputs</t>
        </is>
      </c>
      <c r="D998" s="187" t="inlineStr">
        <is>
          <t>Same information consumed by the two functions even in absence of shared resources, i.e. from a functional perspective</t>
        </is>
      </c>
      <c r="E998" s="45" t="inlineStr">
        <is>
          <t>• Calibration parameters
标准参数</t>
        </is>
      </c>
      <c r="F998" s="53" t="inlineStr">
        <is>
          <t>not applicable</t>
        </is>
      </c>
      <c r="G998" s="55" t="n"/>
      <c r="H998" s="47" t="n"/>
      <c r="I998" s="47" t="n"/>
      <c r="J998" s="49" t="n"/>
      <c r="K998" s="49" t="n"/>
      <c r="L998" s="49" t="n"/>
      <c r="M998" s="49" t="n"/>
    </row>
    <row r="999" outlineLevel="1" ht="57" customFormat="1" customHeight="1" s="36">
      <c r="A999" s="37">
        <f>A974&amp;"_"&amp;B999</f>
        <v/>
      </c>
      <c r="B999" s="50" t="n">
        <v>24</v>
      </c>
      <c r="C999" s="185" t="n"/>
      <c r="D999" s="185" t="n"/>
      <c r="E999" s="45" t="inlineStr">
        <is>
          <t>• Constants, or variables, being global to the two software functions
常量或变量对于这两个软件功能而言是全局性的。</t>
        </is>
      </c>
      <c r="F999" s="53" t="inlineStr">
        <is>
          <t>not applicable</t>
        </is>
      </c>
      <c r="G999" s="46" t="n"/>
      <c r="H999" s="47" t="n"/>
      <c r="I999" s="47" t="n"/>
      <c r="J999" s="48" t="n"/>
      <c r="K999" s="49" t="n"/>
      <c r="L999" s="49" t="n"/>
      <c r="M999" s="49" t="n"/>
    </row>
    <row r="1000" outlineLevel="1" ht="100" customFormat="1" customHeight="1" s="36">
      <c r="A1000" s="37">
        <f>A974&amp;"_"&amp;B1000</f>
        <v/>
      </c>
      <c r="B1000" s="42" t="n">
        <v>25</v>
      </c>
      <c r="C1000" s="185" t="n"/>
      <c r="D1000" s="185" t="n"/>
      <c r="E1000" s="45" t="inlineStr">
        <is>
          <t>• Basic software passes data (read from hardware register and converted into logical information) to two application software functions
基础软件会将数据（从硬件寄存器读取并转换为逻辑信息）传递给两个应用程序软件功能。</t>
        </is>
      </c>
      <c r="F1000" s="53" t="inlineStr">
        <is>
          <t>not applicable</t>
        </is>
      </c>
      <c r="G1000" s="55" t="n"/>
      <c r="H1000" s="47" t="n"/>
      <c r="I1000" s="47" t="n"/>
      <c r="J1000" s="49" t="n"/>
      <c r="K1000" s="49" t="n"/>
      <c r="L1000" s="49" t="n"/>
      <c r="M1000" s="49" t="n"/>
    </row>
    <row r="1001" outlineLevel="1" ht="115.5" customFormat="1" customHeight="1" s="36">
      <c r="A1001" s="37">
        <f>A974&amp;"_"&amp;B1001</f>
        <v/>
      </c>
      <c r="B1001" s="50" t="n">
        <v>26</v>
      </c>
      <c r="C1001" s="186" t="n"/>
      <c r="D1001" s="186" t="n"/>
      <c r="E1001"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1001" s="53" t="inlineStr">
        <is>
          <t>not applicable</t>
        </is>
      </c>
      <c r="G1001" s="55" t="n"/>
      <c r="H1001" s="47" t="n"/>
      <c r="I1001" s="47" t="n"/>
      <c r="J1001" s="49" t="n"/>
      <c r="K1001" s="49" t="n"/>
      <c r="L1001" s="49" t="n"/>
      <c r="M1001" s="49" t="n"/>
    </row>
    <row r="1002" outlineLevel="1" ht="68.5" customFormat="1" customHeight="1" s="36">
      <c r="A1002" s="37">
        <f>A974&amp;"_"&amp;B1002</f>
        <v/>
      </c>
      <c r="B1002" s="42" t="n">
        <v>27</v>
      </c>
      <c r="C1002" s="187" t="inlineStr">
        <is>
          <t>Environmental
influences</t>
        </is>
      </c>
      <c r="D1002" s="184" t="inlineStr">
        <is>
          <t>Common external environmental disturbance affects both functions</t>
        </is>
      </c>
      <c r="E1002" s="45" t="inlineStr">
        <is>
          <t xml:space="preserve">System-level: mechanical shock, water ingress
 系统层面：机械震动、进水                                                                                                                                                                </t>
        </is>
      </c>
      <c r="F1002" s="53" t="inlineStr">
        <is>
          <t>not applicable</t>
        </is>
      </c>
      <c r="G1002" s="55" t="n"/>
      <c r="H1002" s="47" t="n"/>
      <c r="I1002" s="47" t="n"/>
      <c r="J1002" s="49" t="n"/>
      <c r="K1002" s="49" t="n"/>
      <c r="L1002" s="49" t="n"/>
      <c r="M1002" s="49" t="n"/>
    </row>
    <row r="1003" outlineLevel="1" ht="28.5" customFormat="1" customHeight="1" s="36">
      <c r="A1003" s="37">
        <f>A974&amp;"_"&amp;B1003</f>
        <v/>
      </c>
      <c r="B1003" s="50" t="n">
        <v>28</v>
      </c>
      <c r="C1003" s="185" t="n"/>
      <c r="D1003" s="185" t="n"/>
      <c r="E1003" s="45" t="inlineStr">
        <is>
          <t>Software-level: not applicable for Software
软件层面：不适用于软件</t>
        </is>
      </c>
      <c r="F1003" s="53" t="inlineStr">
        <is>
          <t>not applicable</t>
        </is>
      </c>
      <c r="G1003" s="55" t="n"/>
      <c r="H1003" s="47" t="n"/>
      <c r="I1003" s="47" t="n"/>
      <c r="J1003" s="49" t="n"/>
      <c r="K1003" s="49" t="n"/>
      <c r="L1003" s="49" t="n"/>
      <c r="M1003" s="49" t="n"/>
    </row>
    <row r="1004" outlineLevel="1" ht="43" customFormat="1" customHeight="1" s="36">
      <c r="A1004" s="37">
        <f>A974&amp;"_"&amp;B1004</f>
        <v/>
      </c>
      <c r="B1004" s="42" t="n">
        <v>29</v>
      </c>
      <c r="C1004" s="186" t="n"/>
      <c r="D1004" s="186" t="n"/>
      <c r="E1004" s="45" t="inlineStr">
        <is>
          <t>Hardware-level: under and over voltage of the power supply        
硬件层面：电源的欠压和过压情况</t>
        </is>
      </c>
      <c r="F1004" s="53" t="inlineStr">
        <is>
          <t>not applicable</t>
        </is>
      </c>
      <c r="G1004" s="55" t="n"/>
      <c r="H1004" s="47" t="n"/>
      <c r="I1004" s="47" t="n"/>
      <c r="J1004" s="49" t="n"/>
      <c r="K1004" s="49" t="n"/>
      <c r="L1004" s="49" t="n"/>
      <c r="M1004" s="49" t="n"/>
    </row>
    <row r="1005" outlineLevel="1" ht="72.5" customFormat="1" customHeight="1" s="36">
      <c r="A1005" s="37">
        <f>A974&amp;"_"&amp;B1005</f>
        <v/>
      </c>
      <c r="B1005" s="50" t="n">
        <v>30</v>
      </c>
      <c r="C1005" s="187" t="inlineStr">
        <is>
          <t>Unintended impact</t>
        </is>
      </c>
      <c r="D1005" s="187" t="inlineStr">
        <is>
          <t>Two functions affecting each other’s elements directly via an implicit, that is unintended interface.</t>
        </is>
      </c>
      <c r="E1005" s="45" t="inlineStr">
        <is>
          <t>• Memory / corruption of content*
– “wild pointers“ (including program counter stack)
内存/内容损坏*
——“失控指针”（包括程序计数器栈</t>
        </is>
      </c>
      <c r="F1005" s="45" t="inlineStr">
        <is>
          <t xml:space="preserve">Yes </t>
        </is>
      </c>
      <c r="G1005" s="62" t="inlineStr">
        <is>
          <t>不违背安全目标</t>
        </is>
      </c>
      <c r="H1005" s="47" t="inlineStr">
        <is>
          <t>1：支持硬线制动灯点亮</t>
        </is>
      </c>
      <c r="I1005" s="47" t="inlineStr">
        <is>
          <t>SW_DFA_SM_001</t>
        </is>
      </c>
      <c r="J1005" s="48" t="inlineStr">
        <is>
          <t>通过集成测试</t>
        </is>
      </c>
      <c r="K1005" s="49" t="inlineStr">
        <is>
          <t>满足ASILB开发和测试</t>
        </is>
      </c>
      <c r="L1005" s="49" t="n"/>
      <c r="M1005" s="49" t="n"/>
    </row>
    <row r="1006" outlineLevel="1" ht="29" customFormat="1" customHeight="1" s="36">
      <c r="A1006" s="37">
        <f>A974&amp;"_"&amp;B1006</f>
        <v/>
      </c>
      <c r="B1006" s="42" t="n">
        <v>31</v>
      </c>
      <c r="C1006" s="185" t="n"/>
      <c r="D1006" s="185" t="n"/>
      <c r="E1006" s="45" t="inlineStr">
        <is>
          <t>– memory mis-allocation
——内存分配错误</t>
        </is>
      </c>
      <c r="F1006" s="45" t="inlineStr">
        <is>
          <t xml:space="preserve">Yes </t>
        </is>
      </c>
      <c r="G1006" s="62" t="inlineStr">
        <is>
          <t>不违背安全目标</t>
        </is>
      </c>
      <c r="H1006" s="47" t="inlineStr">
        <is>
          <t>1：支持硬线制动灯点亮</t>
        </is>
      </c>
      <c r="I1006" s="47" t="inlineStr">
        <is>
          <t>SW_DFA_SM_001</t>
        </is>
      </c>
      <c r="J1006" s="48" t="inlineStr">
        <is>
          <t>通过集成测试</t>
        </is>
      </c>
      <c r="K1006" s="49" t="inlineStr">
        <is>
          <t>满足ASILB开发和测试</t>
        </is>
      </c>
      <c r="L1006" s="49" t="n"/>
      <c r="M1006" s="49" t="n"/>
    </row>
    <row r="1007" outlineLevel="1" ht="28.5" customFormat="1" customHeight="1" s="36">
      <c r="A1007" s="37">
        <f>A974&amp;"_"&amp;B1007</f>
        <v/>
      </c>
      <c r="B1007" s="50" t="n">
        <v>32</v>
      </c>
      <c r="C1007" s="185" t="n"/>
      <c r="D1007" s="185" t="n"/>
      <c r="E1007" s="45" t="inlineStr">
        <is>
          <t>– memory leaks
内存泄漏</t>
        </is>
      </c>
      <c r="F1007" s="45" t="inlineStr">
        <is>
          <t xml:space="preserve">Yes </t>
        </is>
      </c>
      <c r="G1007" s="62" t="inlineStr">
        <is>
          <t>不违背安全目标</t>
        </is>
      </c>
      <c r="H1007" s="47" t="inlineStr">
        <is>
          <t>1：支持硬线制动灯点亮</t>
        </is>
      </c>
      <c r="I1007" s="47" t="inlineStr">
        <is>
          <t>SW_DFA_SM_001</t>
        </is>
      </c>
      <c r="J1007" s="48" t="inlineStr">
        <is>
          <t>通过集成测试</t>
        </is>
      </c>
      <c r="K1007" s="49" t="inlineStr">
        <is>
          <t>满足ASILB开发和测试</t>
        </is>
      </c>
      <c r="L1007" s="49" t="n"/>
      <c r="M1007" s="49" t="n"/>
    </row>
    <row r="1008" outlineLevel="1" ht="58" customFormat="1" customHeight="1" s="36">
      <c r="A1008" s="37">
        <f>A974&amp;"_"&amp;B1008</f>
        <v/>
      </c>
      <c r="B1008" s="42" t="n">
        <v>33</v>
      </c>
      <c r="C1008" s="185" t="n"/>
      <c r="D1008" s="185" t="n"/>
      <c r="E1008" s="45" t="inlineStr">
        <is>
          <t>– read/write access to memory allocated to another software element*
—— 对分配给其他软件组件的内存的读/写访问权限*</t>
        </is>
      </c>
      <c r="F1008" s="53" t="inlineStr">
        <is>
          <t>not applicable</t>
        </is>
      </c>
      <c r="G1008" s="55" t="n"/>
      <c r="H1008" s="47" t="n"/>
      <c r="I1008" s="47" t="n"/>
      <c r="J1008" s="49" t="n"/>
      <c r="K1008" s="49" t="n"/>
      <c r="L1008" s="49" t="n"/>
      <c r="M1008" s="49" t="n"/>
    </row>
    <row r="1009" outlineLevel="1" ht="29" customFormat="1" customHeight="1" s="36">
      <c r="A1009" s="37">
        <f>A974&amp;"_"&amp;B1009</f>
        <v/>
      </c>
      <c r="B1009" s="50" t="n">
        <v>34</v>
      </c>
      <c r="C1009" s="185" t="n"/>
      <c r="D1009" s="185" t="n"/>
      <c r="E1009" s="45" t="inlineStr">
        <is>
          <t>– buffer under-/overflow
– 缓冲区下溢/上溢</t>
        </is>
      </c>
      <c r="F1009" s="53" t="inlineStr">
        <is>
          <t>not applicable</t>
        </is>
      </c>
      <c r="G1009" s="55" t="n"/>
      <c r="H1009" s="47" t="n"/>
      <c r="I1009" s="47" t="n"/>
      <c r="J1009" s="49" t="n"/>
      <c r="K1009" s="49" t="n"/>
      <c r="L1009" s="49" t="n"/>
      <c r="M1009" s="49" t="n"/>
    </row>
    <row r="1010" outlineLevel="1" ht="57.5" customFormat="1" customHeight="1" s="36">
      <c r="A1010" s="37">
        <f>A974&amp;"_"&amp;B1010</f>
        <v/>
      </c>
      <c r="B1010" s="42" t="n">
        <v>35</v>
      </c>
      <c r="C1010" s="185" t="n"/>
      <c r="D1010" s="185" t="n"/>
      <c r="E1010" s="45" t="inlineStr">
        <is>
          <t>• Timing and execution
– deadlocks*
时机与执行
——死锁*</t>
        </is>
      </c>
      <c r="F1010" s="53" t="inlineStr">
        <is>
          <t>not applicable</t>
        </is>
      </c>
      <c r="G1010" s="55" t="n"/>
      <c r="H1010" s="47" t="n"/>
      <c r="I1010" s="47" t="n"/>
      <c r="J1010" s="49" t="n"/>
      <c r="K1010" s="49" t="n"/>
      <c r="L1010" s="49" t="n"/>
      <c r="M1010" s="49" t="n"/>
    </row>
    <row r="1011" outlineLevel="1" ht="28.5" customFormat="1" customHeight="1" s="36">
      <c r="A1011" s="37">
        <f>A974&amp;"_"&amp;B1011</f>
        <v/>
      </c>
      <c r="B1011" s="50" t="n">
        <v>36</v>
      </c>
      <c r="C1011" s="185" t="n"/>
      <c r="D1011" s="185" t="n"/>
      <c r="E1011" s="45" t="inlineStr">
        <is>
          <t>– livelocks*
活锁</t>
        </is>
      </c>
      <c r="F1011" s="53" t="inlineStr">
        <is>
          <t>not applicable</t>
        </is>
      </c>
      <c r="G1011" s="55" t="n"/>
      <c r="H1011" s="47" t="n"/>
      <c r="I1011" s="47" t="n"/>
      <c r="J1011" s="49" t="n"/>
      <c r="K1011" s="49" t="n"/>
      <c r="L1011" s="49" t="n"/>
      <c r="M1011" s="49" t="n"/>
    </row>
    <row r="1012" outlineLevel="1" ht="29" customFormat="1" customHeight="1" s="36">
      <c r="A1012" s="37">
        <f>A974&amp;"_"&amp;B1012</f>
        <v/>
      </c>
      <c r="B1012" s="42" t="n">
        <v>37</v>
      </c>
      <c r="C1012" s="185" t="n"/>
      <c r="D1012" s="185" t="n"/>
      <c r="E1012" s="45" t="inlineStr">
        <is>
          <t>– incorrect allocation of execution time*
——执行时间分配不当*</t>
        </is>
      </c>
      <c r="F1012" s="53" t="inlineStr">
        <is>
          <t>not applicable</t>
        </is>
      </c>
      <c r="G1012" s="55" t="n"/>
      <c r="H1012" s="47" t="n"/>
      <c r="I1012" s="47" t="n"/>
      <c r="J1012" s="49" t="n"/>
      <c r="K1012" s="49" t="n"/>
      <c r="L1012" s="49" t="n"/>
      <c r="M1012" s="49" t="n"/>
    </row>
    <row r="1013" outlineLevel="1" ht="43.5" customFormat="1" customHeight="1" s="36">
      <c r="A1013" s="37">
        <f>A974&amp;"_"&amp;B1013</f>
        <v/>
      </c>
      <c r="B1013" s="50" t="n">
        <v>38</v>
      </c>
      <c r="C1013" s="186" t="n"/>
      <c r="D1013" s="186" t="n"/>
      <c r="E1013" s="45" t="inlineStr">
        <is>
          <t>– incorrect synchronization between software elements*
——软件各组成部分之间的同步不正确*</t>
        </is>
      </c>
      <c r="F1013" s="53" t="inlineStr">
        <is>
          <t>not applicable</t>
        </is>
      </c>
      <c r="G1013" s="46" t="n"/>
      <c r="H1013" s="47" t="n"/>
      <c r="I1013" s="47" t="n"/>
      <c r="J1013" s="48" t="n"/>
      <c r="K1013" s="49" t="n"/>
      <c r="L1013" s="49" t="n"/>
      <c r="M1013" s="49" t="n"/>
    </row>
    <row r="1014" outlineLevel="1" ht="72" customFormat="1" customHeight="1" s="36">
      <c r="A1014" s="37">
        <f>A974&amp;"_"&amp;B1014</f>
        <v/>
      </c>
      <c r="B1014" s="42" t="n">
        <v>39</v>
      </c>
      <c r="C1014" s="187" t="inlineStr">
        <is>
          <t>Systematic coupling</t>
        </is>
      </c>
      <c r="D1014" s="187" t="inlineStr">
        <is>
          <t>Systematic causes from human or tool errors can lead to the simultaneous failure of more than one function</t>
        </is>
      </c>
      <c r="E1014" s="45" t="inlineStr">
        <is>
          <t>• Manufacturing fault / repair fault (e.g. false flashing, false calibration reference for sensors)
制造故障/维修故障（例如：错误的闪烁现象、传感器的错误校准参考值）</t>
        </is>
      </c>
      <c r="F1014" s="53" t="inlineStr">
        <is>
          <t>not applicable</t>
        </is>
      </c>
      <c r="G1014" s="55" t="n"/>
      <c r="H1014" s="47" t="n"/>
      <c r="I1014" s="47" t="n"/>
      <c r="J1014" s="49" t="n"/>
      <c r="K1014" s="49" t="n"/>
      <c r="L1014" s="49" t="n"/>
      <c r="M1014" s="49" t="n"/>
    </row>
    <row r="1015" outlineLevel="1" ht="115.5" customFormat="1" customHeight="1" s="36">
      <c r="A1015" s="37">
        <f>A974&amp;"_"&amp;B1015</f>
        <v/>
      </c>
      <c r="B1015" s="50" t="n">
        <v>40</v>
      </c>
      <c r="C1015" s="185" t="n"/>
      <c r="D1015" s="185" t="n"/>
      <c r="E1015" s="61" t="inlineStr">
        <is>
          <t xml:space="preserve">• Non-diverse development approaches including:
– same software tools (e.g. IDE, compiler, linker)
非多元化的发展方式包括：
——相同的软件工具（例如集成开发环境、编译器、链接器）
</t>
        </is>
      </c>
      <c r="F1015" s="45" t="inlineStr">
        <is>
          <t xml:space="preserve">Yes </t>
        </is>
      </c>
      <c r="G1015" s="62" t="inlineStr">
        <is>
          <t>代码异常导致的违背安全目标</t>
        </is>
      </c>
      <c r="H1015" s="63" t="inlineStr">
        <is>
          <t>工具鉴定</t>
        </is>
      </c>
      <c r="I1015" s="63" t="n"/>
      <c r="J1015" s="49" t="inlineStr">
        <is>
          <t>通过集成测试</t>
        </is>
      </c>
      <c r="K1015" s="68" t="inlineStr">
        <is>
          <t>满足ASILB开发和测试</t>
        </is>
      </c>
      <c r="L1015" s="68" t="n"/>
      <c r="M1015" s="49" t="n"/>
    </row>
    <row r="1016" outlineLevel="1" ht="28.5" customFormat="1" customHeight="1" s="36">
      <c r="A1016" s="37">
        <f>A974&amp;"_"&amp;B1016</f>
        <v/>
      </c>
      <c r="B1016" s="42" t="n">
        <v>41</v>
      </c>
      <c r="C1016" s="185" t="n"/>
      <c r="D1016" s="185" t="n"/>
      <c r="E1016" s="61" t="inlineStr">
        <is>
          <t>– same algorithms
相同的算法</t>
        </is>
      </c>
      <c r="F1016" s="53" t="inlineStr">
        <is>
          <t>not applicable</t>
        </is>
      </c>
      <c r="G1016" s="54" t="n"/>
      <c r="H1016" s="47" t="n"/>
      <c r="I1016" s="47" t="n"/>
      <c r="J1016" s="48" t="n"/>
      <c r="K1016" s="49" t="n"/>
      <c r="L1016" s="49" t="n"/>
      <c r="M1016" s="49" t="n"/>
    </row>
    <row r="1017" outlineLevel="1" ht="43.5" customFormat="1" customHeight="1" s="36">
      <c r="A1017" s="37">
        <f>A974&amp;"_"&amp;B1017</f>
        <v/>
      </c>
      <c r="B1017" s="50" t="n">
        <v>42</v>
      </c>
      <c r="C1017" s="185" t="n"/>
      <c r="D1017" s="185" t="n"/>
      <c r="E1017" s="61" t="inlineStr">
        <is>
          <t>– same programming and/or modelling language used
所使用的编程和/或建模语言相同</t>
        </is>
      </c>
      <c r="F1017" s="45" t="inlineStr">
        <is>
          <t xml:space="preserve">Yes </t>
        </is>
      </c>
      <c r="G1017" s="62" t="inlineStr">
        <is>
          <t>代码异常导致的违背安全目标</t>
        </is>
      </c>
      <c r="H1017" s="63" t="inlineStr">
        <is>
          <t>工具鉴定</t>
        </is>
      </c>
      <c r="I1017" s="47" t="n"/>
      <c r="J1017" s="49" t="inlineStr">
        <is>
          <t>通过集成测试</t>
        </is>
      </c>
      <c r="K1017" s="49" t="inlineStr">
        <is>
          <t>满足ASILB开发和测试</t>
        </is>
      </c>
      <c r="L1017" s="49" t="n"/>
      <c r="M1017" s="49" t="n"/>
    </row>
    <row r="1018" outlineLevel="1" ht="29" customFormat="1" customHeight="1" s="36">
      <c r="A1018" s="37">
        <f>A974&amp;"_"&amp;B1018</f>
        <v/>
      </c>
      <c r="B1018" s="42" t="n">
        <v>43</v>
      </c>
      <c r="C1018" s="185" t="n"/>
      <c r="D1018" s="185" t="n"/>
      <c r="E1018" s="61" t="inlineStr">
        <is>
          <t>– same complier/linker used
使用的是相同的编译器/链接器</t>
        </is>
      </c>
      <c r="F1018" s="45" t="inlineStr">
        <is>
          <t xml:space="preserve">Yes </t>
        </is>
      </c>
      <c r="G1018" s="62" t="inlineStr">
        <is>
          <t>代码异常导致的违背安全目标</t>
        </is>
      </c>
      <c r="H1018" s="63" t="inlineStr">
        <is>
          <t>工具鉴定</t>
        </is>
      </c>
      <c r="I1018" s="47" t="n"/>
      <c r="J1018" s="49" t="inlineStr">
        <is>
          <t>通过集成测试</t>
        </is>
      </c>
      <c r="K1018" s="49" t="inlineStr">
        <is>
          <t>满足ASILB开发和测试</t>
        </is>
      </c>
      <c r="L1018" s="49" t="n"/>
      <c r="M1018" s="49" t="n"/>
    </row>
    <row r="1019" outlineLevel="1" ht="28.5" customFormat="1" customHeight="1" s="36">
      <c r="A1019" s="37">
        <f>A974&amp;"_"&amp;B1019</f>
        <v/>
      </c>
      <c r="B1019" s="50" t="n">
        <v>44</v>
      </c>
      <c r="C1019" s="185" t="n"/>
      <c r="D1019" s="185" t="n"/>
      <c r="E1019" s="45" t="inlineStr">
        <is>
          <t>• Same personnel
相同人员</t>
        </is>
      </c>
      <c r="F1019" s="53" t="inlineStr">
        <is>
          <t>not applicable</t>
        </is>
      </c>
      <c r="G1019" s="55" t="n"/>
      <c r="H1019" s="47" t="n"/>
      <c r="I1019" s="47" t="n"/>
      <c r="J1019" s="49" t="n"/>
      <c r="K1019" s="49" t="n"/>
      <c r="L1019" s="49" t="n"/>
      <c r="M1019" s="49" t="n"/>
    </row>
    <row r="1020" outlineLevel="1" ht="57" customFormat="1" customHeight="1" s="36">
      <c r="A1020" s="37">
        <f>A974&amp;"_"&amp;B1020</f>
        <v/>
      </c>
      <c r="B1020" s="42" t="n">
        <v>45</v>
      </c>
      <c r="C1020" s="185" t="n"/>
      <c r="D1020" s="185" t="n"/>
      <c r="E1020" s="45" t="inlineStr">
        <is>
          <t>• Same social-cultural context (even if different personnel)
相同的社会文化背景（即便人员有所不同）</t>
        </is>
      </c>
      <c r="F1020" s="53" t="inlineStr">
        <is>
          <t>not applicable</t>
        </is>
      </c>
      <c r="G1020" s="55" t="n"/>
      <c r="H1020" s="47" t="n"/>
      <c r="I1020" s="47" t="n"/>
      <c r="J1020" s="49" t="n"/>
      <c r="K1020" s="49" t="n"/>
      <c r="L1020" s="49" t="n"/>
      <c r="M1020" s="49" t="n"/>
    </row>
    <row r="1021" outlineLevel="1" ht="57.5" customFormat="1" customHeight="1" s="36">
      <c r="A1021" s="37">
        <f>A974&amp;"_"&amp;B1021</f>
        <v/>
      </c>
      <c r="B1021" s="50" t="n">
        <v>46</v>
      </c>
      <c r="C1021" s="185" t="n"/>
      <c r="D1021" s="185" t="n"/>
      <c r="E1021" s="45" t="inlineStr">
        <is>
          <t>• Development fault, e.g.
– human error
开发失误，例如：
– 人为错误</t>
        </is>
      </c>
      <c r="F1021" s="53" t="inlineStr">
        <is>
          <t>not applicable</t>
        </is>
      </c>
      <c r="G1021" s="55" t="n"/>
      <c r="H1021" s="47" t="n"/>
      <c r="I1021" s="47" t="n"/>
      <c r="J1021" s="49" t="n"/>
      <c r="K1021" s="49" t="n"/>
      <c r="L1021" s="49" t="n"/>
      <c r="M1021" s="49" t="n"/>
    </row>
    <row r="1022" outlineLevel="1" ht="28.5" customFormat="1" customHeight="1" s="36">
      <c r="A1022" s="37">
        <f>A974&amp;"_"&amp;B1022</f>
        <v/>
      </c>
      <c r="B1022" s="42" t="n">
        <v>47</v>
      </c>
      <c r="C1022" s="185" t="n"/>
      <c r="D1022" s="185" t="n"/>
      <c r="E1022" s="45" t="inlineStr">
        <is>
          <t>– insufficiently qualified personnel
资质不足的人员</t>
        </is>
      </c>
      <c r="F1022" s="53" t="inlineStr">
        <is>
          <t>not applicable</t>
        </is>
      </c>
      <c r="G1022" s="55" t="n"/>
      <c r="H1022" s="47" t="n"/>
      <c r="I1022" s="47" t="n"/>
      <c r="J1022" s="49" t="n"/>
      <c r="K1022" s="49" t="n"/>
      <c r="L1022" s="49" t="n"/>
      <c r="M1022" s="49" t="n"/>
    </row>
    <row r="1023" outlineLevel="1" ht="28.5" customFormat="1" customHeight="1" s="36">
      <c r="A1023" s="37">
        <f>A974&amp;"_"&amp;B1023</f>
        <v/>
      </c>
      <c r="B1023" s="50" t="n">
        <v>48</v>
      </c>
      <c r="C1023" s="185" t="n"/>
      <c r="D1023" s="185" t="n"/>
      <c r="E1023" s="45" t="inlineStr">
        <is>
          <t>– process weaknesses
处理弱点</t>
        </is>
      </c>
      <c r="F1023" s="53" t="inlineStr">
        <is>
          <t>not applicable</t>
        </is>
      </c>
      <c r="G1023" s="55" t="n"/>
      <c r="H1023" s="47" t="n"/>
      <c r="I1023" s="47" t="n"/>
      <c r="J1023" s="49" t="n"/>
      <c r="K1023" s="49" t="n"/>
      <c r="L1023" s="49" t="n"/>
      <c r="M1023" s="49" t="n"/>
    </row>
    <row r="1024" outlineLevel="1" ht="26" customFormat="1" customHeight="1" s="36">
      <c r="A1024" s="37">
        <f>A974&amp;"_"&amp;B1024</f>
        <v/>
      </c>
      <c r="B1024" s="42" t="n">
        <v>49</v>
      </c>
      <c r="C1024" s="186" t="n"/>
      <c r="D1024" s="186" t="n"/>
      <c r="E1024" s="45" t="inlineStr">
        <is>
          <t>– insufficient methods方法不足</t>
        </is>
      </c>
      <c r="F1024" s="53" t="inlineStr">
        <is>
          <t>not applicable</t>
        </is>
      </c>
      <c r="G1024" s="55" t="n"/>
      <c r="H1024" s="47" t="n"/>
      <c r="I1024" s="47" t="n"/>
      <c r="J1024" s="49" t="n"/>
      <c r="K1024" s="49" t="n"/>
      <c r="L1024" s="49" t="n"/>
      <c r="M1024" s="49" t="n"/>
    </row>
    <row r="1025" ht="75" customFormat="1" customHeight="1" s="36">
      <c r="A1025" s="67">
        <f>'Top Event'!B24</f>
        <v/>
      </c>
      <c r="B1025" s="67" t="n"/>
      <c r="C1025" s="67">
        <f>'Top Event'!C24</f>
        <v/>
      </c>
      <c r="D1025" s="69">
        <f>'Top Event'!D24</f>
        <v/>
      </c>
      <c r="E1025" s="67">
        <f>'Top Event'!E24</f>
        <v/>
      </c>
      <c r="F1025" s="66" t="n"/>
      <c r="G1025" s="66" t="n"/>
      <c r="H1025" s="64" t="n"/>
      <c r="I1025" s="64" t="n"/>
      <c r="J1025" s="36" t="n"/>
      <c r="K1025" s="36" t="n"/>
      <c r="L1025" s="36" t="n"/>
      <c r="M1025" s="36" t="n"/>
    </row>
    <row r="1026" ht="37.25" customFormat="1" customHeight="1" s="36">
      <c r="A1026" s="37" t="n"/>
      <c r="B1026" s="37" t="n"/>
      <c r="C1026" s="38" t="inlineStr">
        <is>
          <t>DF-I Category</t>
        </is>
      </c>
      <c r="D1026" s="38" t="inlineStr">
        <is>
          <t>Interpretation</t>
        </is>
      </c>
      <c r="E1026" s="38" t="inlineStr">
        <is>
          <t>DF-Initiator Examples</t>
        </is>
      </c>
      <c r="F1026" s="38" t="inlineStr">
        <is>
          <t>Applicable?</t>
        </is>
      </c>
      <c r="G1026" s="38" t="inlineStr">
        <is>
          <t>safety  goal related</t>
        </is>
      </c>
      <c r="H1026" s="39" t="inlineStr">
        <is>
          <t>Counter Measure</t>
        </is>
      </c>
      <c r="I1026" s="39" t="inlineStr">
        <is>
          <t>Counter Measure ID</t>
        </is>
      </c>
      <c r="J1026" s="38" t="inlineStr">
        <is>
          <t>Evidence</t>
        </is>
      </c>
      <c r="K1026" s="38" t="inlineStr">
        <is>
          <t>sufficient?</t>
        </is>
      </c>
      <c r="L1026" s="38" t="n"/>
      <c r="M1026" s="41" t="inlineStr">
        <is>
          <t>Comment</t>
        </is>
      </c>
    </row>
    <row r="1027" outlineLevel="1" ht="86" customFormat="1" customHeight="1" s="36">
      <c r="A1027" s="37">
        <f>A1025&amp;"_"&amp;B1027</f>
        <v/>
      </c>
      <c r="B1027" s="42" t="n">
        <v>1</v>
      </c>
      <c r="C1027" s="183" t="inlineStr">
        <is>
          <t>Shared resource</t>
        </is>
      </c>
      <c r="D1027" s="184" t="inlineStr">
        <is>
          <t>The same software, hardware, or system element instance used by the two elements which are therefore affected by the failure or unavailability of that shared resource, i.e. from a physical perspective.</t>
        </is>
      </c>
      <c r="E1027" s="45" t="inlineStr">
        <is>
          <t>Software component used by more than one other software component, e.g.
– reused standard software modules
被多个其他软件组件所使用的软件组件，例如：
– 重复使用的标准软件模块</t>
        </is>
      </c>
      <c r="F1027" s="45" t="inlineStr">
        <is>
          <t xml:space="preserve">Yes </t>
        </is>
      </c>
      <c r="G1027" s="62" t="inlineStr">
        <is>
          <t>不违背安全目标</t>
        </is>
      </c>
      <c r="H1027" s="47" t="inlineStr">
        <is>
          <t>1：支持硬线制动灯点亮</t>
        </is>
      </c>
      <c r="I1027" s="47" t="inlineStr">
        <is>
          <t>SW_DFA_SM_001</t>
        </is>
      </c>
      <c r="J1027" s="49" t="inlineStr">
        <is>
          <t>通过集成测试</t>
        </is>
      </c>
      <c r="K1027" s="49" t="inlineStr">
        <is>
          <t>满足ASILB开发和测试</t>
        </is>
      </c>
      <c r="L1027" s="49" t="n"/>
      <c r="M1027" s="49" t="n"/>
    </row>
    <row r="1028" outlineLevel="1" ht="28.5" customFormat="1" customHeight="1" s="36">
      <c r="A1028" s="37">
        <f>A1025&amp;"_"&amp;B1028</f>
        <v/>
      </c>
      <c r="B1028" s="50" t="n">
        <v>2</v>
      </c>
      <c r="C1028" s="185" t="n"/>
      <c r="D1028" s="185" t="n"/>
      <c r="E1028" s="45" t="inlineStr">
        <is>
          <t>– libraries
库</t>
        </is>
      </c>
      <c r="F1028" s="53" t="inlineStr">
        <is>
          <t>not applicable</t>
        </is>
      </c>
      <c r="G1028" s="55" t="n"/>
      <c r="H1028" s="47" t="n"/>
      <c r="I1028" s="47" t="n"/>
      <c r="J1028" s="49" t="n"/>
      <c r="K1028" s="49" t="n"/>
      <c r="L1028" s="49" t="n"/>
      <c r="M1028" s="49" t="n"/>
    </row>
    <row r="1029" outlineLevel="1" ht="28.5" customFormat="1" customHeight="1" s="36">
      <c r="A1029" s="37">
        <f>A1025&amp;"_"&amp;B1029</f>
        <v/>
      </c>
      <c r="B1029" s="42" t="n">
        <v>3</v>
      </c>
      <c r="C1029" s="185" t="n"/>
      <c r="D1029" s="185" t="n"/>
      <c r="E1029" s="45" t="inlineStr">
        <is>
          <t>– middleware
中间件</t>
        </is>
      </c>
      <c r="F1029" s="53" t="inlineStr">
        <is>
          <t>not applicable</t>
        </is>
      </c>
      <c r="G1029" s="55" t="n"/>
      <c r="H1029" s="47" t="n"/>
      <c r="I1029" s="47" t="n"/>
      <c r="J1029" s="49" t="n"/>
      <c r="K1029" s="49" t="n"/>
      <c r="L1029" s="49" t="n"/>
      <c r="M1029" s="49" t="n"/>
    </row>
    <row r="1030" outlineLevel="1" ht="28.5" customFormat="1" customHeight="1" s="36">
      <c r="A1030" s="37">
        <f>A1025&amp;"_"&amp;B1030</f>
        <v/>
      </c>
      <c r="B1030" s="50" t="n">
        <v>4</v>
      </c>
      <c r="C1030" s="185" t="n"/>
      <c r="D1030" s="185" t="n"/>
      <c r="E1030" s="45" t="inlineStr">
        <is>
          <t>– basic software
基本软件</t>
        </is>
      </c>
      <c r="F1030" s="53" t="inlineStr">
        <is>
          <t>not applicable</t>
        </is>
      </c>
      <c r="G1030" s="46" t="n"/>
      <c r="H1030" s="47" t="n"/>
      <c r="I1030" s="47" t="n"/>
      <c r="J1030" s="48" t="n"/>
      <c r="K1030" s="49" t="n"/>
      <c r="L1030" s="49" t="n"/>
      <c r="M1030" s="49" t="n"/>
    </row>
    <row r="1031" outlineLevel="1" ht="43.5" customFormat="1" customHeight="1" s="36">
      <c r="A1031" s="37">
        <f>A1025&amp;"_"&amp;B1031</f>
        <v/>
      </c>
      <c r="B1031" s="42" t="n">
        <v>5</v>
      </c>
      <c r="C1031" s="185" t="n"/>
      <c r="D1031" s="185" t="n"/>
      <c r="E1031" s="45" t="inlineStr">
        <is>
          <t xml:space="preserve">– operating system including scheduler
——包含调度器的操作系统
</t>
        </is>
      </c>
      <c r="F1031" s="53" t="inlineStr">
        <is>
          <t>not applicable</t>
        </is>
      </c>
      <c r="G1031" s="55" t="n"/>
      <c r="H1031" s="47" t="n"/>
      <c r="I1031" s="47" t="n"/>
      <c r="J1031" s="49" t="n"/>
      <c r="K1031" s="49" t="n"/>
      <c r="L1031" s="49" t="n"/>
      <c r="M1031" s="49" t="n"/>
    </row>
    <row r="1032" outlineLevel="1" ht="28.5" customFormat="1" customHeight="1" s="36">
      <c r="A1032" s="37">
        <f>A1025&amp;"_"&amp;B1032</f>
        <v/>
      </c>
      <c r="B1032" s="50" t="n">
        <v>6</v>
      </c>
      <c r="C1032" s="185" t="n"/>
      <c r="D1032" s="185" t="n"/>
      <c r="E1032" s="45" t="inlineStr">
        <is>
          <t>– communication stack
通信协议栈</t>
        </is>
      </c>
      <c r="F1032" s="53" t="inlineStr">
        <is>
          <t>not applicable</t>
        </is>
      </c>
      <c r="G1032" s="55" t="n"/>
      <c r="H1032" s="47" t="n"/>
      <c r="I1032" s="47" t="n"/>
      <c r="J1032" s="48" t="n"/>
      <c r="K1032" s="49" t="n"/>
      <c r="L1032" s="49" t="n"/>
      <c r="M1032" s="49" t="n"/>
    </row>
    <row r="1033" outlineLevel="1" ht="29" customFormat="1" customHeight="1" s="36">
      <c r="A1033" s="37">
        <f>A1025&amp;"_"&amp;B1033</f>
        <v/>
      </c>
      <c r="B1033" s="42" t="n">
        <v>7</v>
      </c>
      <c r="C1033" s="185" t="n"/>
      <c r="D1033" s="185" t="n"/>
      <c r="E1033" s="45" t="inlineStr">
        <is>
          <t xml:space="preserve">– parameter file参数文件
</t>
        </is>
      </c>
      <c r="F1033" s="53" t="inlineStr">
        <is>
          <t>not applicable</t>
        </is>
      </c>
      <c r="G1033" s="55" t="n"/>
      <c r="H1033" s="47" t="n"/>
      <c r="I1033" s="47" t="n"/>
      <c r="J1033" s="49" t="n"/>
      <c r="K1033" s="49" t="n"/>
      <c r="L1033" s="49" t="n"/>
      <c r="M1033" s="49" t="n"/>
    </row>
    <row r="1034" outlineLevel="1" ht="28.5" customFormat="1" customHeight="1" s="36">
      <c r="A1034" s="37">
        <f>A1025&amp;"_"&amp;B1034</f>
        <v/>
      </c>
      <c r="B1034" s="50" t="n">
        <v>8</v>
      </c>
      <c r="C1034" s="185" t="n"/>
      <c r="D1034" s="185" t="n"/>
      <c r="E1034" s="45" t="inlineStr">
        <is>
          <t>– execution time
执行时间</t>
        </is>
      </c>
      <c r="F1034" s="53" t="inlineStr">
        <is>
          <t>not applicable</t>
        </is>
      </c>
      <c r="G1034" s="55" t="n"/>
      <c r="H1034" s="47" t="n"/>
      <c r="I1034" s="47" t="n"/>
      <c r="J1034" s="49" t="n"/>
      <c r="K1034" s="49" t="n"/>
      <c r="L1034" s="49" t="n"/>
      <c r="M1034" s="49" t="n"/>
    </row>
    <row r="1035" outlineLevel="1" ht="26" customFormat="1" customHeight="1" s="36">
      <c r="A1035" s="37">
        <f>A1025&amp;"_"&amp;B1035</f>
        <v/>
      </c>
      <c r="B1035" s="42" t="n">
        <v>9</v>
      </c>
      <c r="C1035" s="186" t="n"/>
      <c r="D1035" s="186" t="n"/>
      <c r="E1035" s="45" t="inlineStr">
        <is>
          <t>– allocated memory</t>
        </is>
      </c>
      <c r="F1035" s="53" t="inlineStr">
        <is>
          <t>not applicable</t>
        </is>
      </c>
      <c r="G1035" s="55" t="n"/>
      <c r="H1035" s="47" t="n"/>
      <c r="I1035" s="47" t="n"/>
      <c r="J1035" s="49" t="n"/>
      <c r="K1035" s="49" t="n"/>
      <c r="L1035" s="49" t="n"/>
      <c r="M1035" s="49" t="n"/>
    </row>
    <row r="1036" outlineLevel="1" ht="28.5" customFormat="1" customHeight="1" s="36">
      <c r="A1036" s="37">
        <f>A1025&amp;"_"&amp;B1036</f>
        <v/>
      </c>
      <c r="B1036" s="50" t="n">
        <v>10</v>
      </c>
      <c r="C1036" s="187" t="inlineStr">
        <is>
          <t>Components of
identical type</t>
        </is>
      </c>
      <c r="D1036" s="187" t="inlineStr">
        <is>
          <t>Identical components may fail with higher probability simultaneously (common mode failures)</t>
        </is>
      </c>
      <c r="E1036" s="45" t="inlineStr">
        <is>
          <t>• Reused standard software modules
重复使用的标准软件模块</t>
        </is>
      </c>
      <c r="F1036" s="53" t="inlineStr">
        <is>
          <t>not applicable</t>
        </is>
      </c>
      <c r="G1036" s="46" t="n"/>
      <c r="H1036" s="47" t="n"/>
      <c r="I1036" s="47" t="n"/>
      <c r="J1036" s="48" t="n"/>
      <c r="K1036" s="49" t="n"/>
      <c r="L1036" s="49" t="n"/>
      <c r="M1036" s="49" t="n"/>
    </row>
    <row r="1037" outlineLevel="1" ht="28.5" customFormat="1" customHeight="1" s="36">
      <c r="A1037" s="37">
        <f>A1025&amp;"_"&amp;B1037</f>
        <v/>
      </c>
      <c r="B1037" s="42" t="n">
        <v>11</v>
      </c>
      <c r="C1037" s="185" t="n"/>
      <c r="D1037" s="185" t="n"/>
      <c r="E1037" s="45" t="inlineStr">
        <is>
          <t>• Standard library components
标准库组件</t>
        </is>
      </c>
      <c r="F1037" s="53" t="inlineStr">
        <is>
          <t>not applicable</t>
        </is>
      </c>
      <c r="G1037" s="46" t="n"/>
      <c r="H1037" s="47" t="n"/>
      <c r="I1037" s="47" t="n"/>
      <c r="J1037" s="48" t="n"/>
      <c r="K1037" s="49" t="n"/>
      <c r="L1037" s="49" t="n"/>
      <c r="M1037" s="49" t="n"/>
    </row>
    <row r="1038" outlineLevel="1" ht="28.5" customFormat="1" customHeight="1" s="36">
      <c r="A1038" s="37">
        <f>A1025&amp;"_"&amp;B1038</f>
        <v/>
      </c>
      <c r="B1038" s="50" t="n">
        <v>12</v>
      </c>
      <c r="C1038" s="185" t="n"/>
      <c r="D1038" s="185" t="n"/>
      <c r="E1038" s="45" t="inlineStr">
        <is>
          <t>• Middleware
中间件</t>
        </is>
      </c>
      <c r="F1038" s="53" t="inlineStr">
        <is>
          <t>not applicable</t>
        </is>
      </c>
      <c r="G1038" s="55" t="n"/>
      <c r="H1038" s="47" t="n"/>
      <c r="I1038" s="47" t="n"/>
      <c r="J1038" s="49" t="n"/>
      <c r="K1038" s="49" t="n"/>
      <c r="L1038" s="49" t="n"/>
      <c r="M1038" s="49" t="n"/>
    </row>
    <row r="1039" outlineLevel="1" ht="28.5" customFormat="1" customHeight="1" s="36">
      <c r="A1039" s="37">
        <f>A1025&amp;"_"&amp;B1039</f>
        <v/>
      </c>
      <c r="B1039" s="42" t="n">
        <v>13</v>
      </c>
      <c r="C1039" s="185" t="n"/>
      <c r="D1039" s="185" t="n"/>
      <c r="E1039" s="45" t="inlineStr">
        <is>
          <t>• Operating system
操作系统</t>
        </is>
      </c>
      <c r="F1039" s="53" t="inlineStr">
        <is>
          <t>not applicable</t>
        </is>
      </c>
      <c r="G1039" s="55" t="n"/>
      <c r="H1039" s="47" t="n"/>
      <c r="I1039" s="47" t="n"/>
      <c r="J1039" s="49" t="n"/>
      <c r="K1039" s="49" t="n"/>
      <c r="L1039" s="49" t="n"/>
      <c r="M1039" s="49" t="n"/>
    </row>
    <row r="1040" outlineLevel="1" ht="28.5" customFormat="1" customHeight="1" s="36">
      <c r="A1040" s="37">
        <f>A1025&amp;"_"&amp;B1040</f>
        <v/>
      </c>
      <c r="B1040" s="50" t="n">
        <v>14</v>
      </c>
      <c r="C1040" s="185" t="n"/>
      <c r="D1040" s="185" t="n"/>
      <c r="E1040" s="45" t="inlineStr">
        <is>
          <t>• Communication stack
通信栈</t>
        </is>
      </c>
      <c r="F1040" s="45" t="inlineStr">
        <is>
          <t xml:space="preserve">Yes </t>
        </is>
      </c>
      <c r="G1040" s="62" t="inlineStr">
        <is>
          <t>不违背安全目标</t>
        </is>
      </c>
      <c r="H1040" s="47" t="inlineStr">
        <is>
          <t>通信丢失检测及安全降级</t>
        </is>
      </c>
      <c r="I1040" s="47" t="inlineStr">
        <is>
          <t>SW_DFA_SM_003</t>
        </is>
      </c>
      <c r="J1040" s="49" t="inlineStr">
        <is>
          <t>通过集成测试</t>
        </is>
      </c>
      <c r="K1040" s="49" t="inlineStr">
        <is>
          <t>满足ASILB开发和测试</t>
        </is>
      </c>
      <c r="L1040" s="49" t="n"/>
      <c r="M1040" s="49" t="n"/>
    </row>
    <row r="1041" outlineLevel="1" ht="58" customFormat="1" customHeight="1" s="36">
      <c r="A1041" s="37">
        <f>A1025&amp;"_"&amp;B1041</f>
        <v/>
      </c>
      <c r="B1041" s="42" t="n">
        <v>15</v>
      </c>
      <c r="C1041" s="186" t="n"/>
      <c r="D1041" s="186" t="n"/>
      <c r="E1041" s="45" t="inlineStr">
        <is>
          <t xml:space="preserve">
• Parameter set
参数设置
</t>
        </is>
      </c>
      <c r="F1041" s="53" t="inlineStr">
        <is>
          <t>not applicable</t>
        </is>
      </c>
      <c r="G1041" s="55" t="n"/>
      <c r="H1041" s="47" t="n"/>
      <c r="I1041" s="47" t="n"/>
      <c r="J1041" s="49" t="n"/>
      <c r="K1041" s="49" t="n"/>
      <c r="L1041" s="49" t="n"/>
      <c r="M1041" s="49" t="n"/>
    </row>
    <row r="1042" outlineLevel="1" ht="100.5" customFormat="1" customHeight="1" s="36">
      <c r="A1042" s="37">
        <f>A1025&amp;"_"&amp;B1042</f>
        <v/>
      </c>
      <c r="B1042" s="50" t="n">
        <v>16</v>
      </c>
      <c r="C1042" s="187" t="inlineStr">
        <is>
          <t>Communication
between the two
functions</t>
        </is>
      </c>
      <c r="D1042" s="184" t="inlineStr">
        <is>
          <t>Receiving function is affected by information that is false, lost, sent multiple times, or in the wrong order etc. from the sender</t>
        </is>
      </c>
      <c r="E1042" s="45" t="inlineStr">
        <is>
          <t>• Information passed via argument through a function call, or via writing/reading a variable being global to the two software functions (data flow)
通过函数调用传递的信息，或者通过对全局变量的写入/读取操作（这种操作涉及两个软件函数）（数据流）</t>
        </is>
      </c>
      <c r="F1042" s="53" t="inlineStr">
        <is>
          <t>not applicable</t>
        </is>
      </c>
      <c r="G1042" s="62" t="n"/>
      <c r="H1042" s="47" t="n"/>
      <c r="I1042" s="47" t="n"/>
      <c r="J1042" s="48" t="n"/>
      <c r="K1042" s="49" t="n"/>
      <c r="L1042" s="49" t="n"/>
      <c r="M1042" s="49" t="n"/>
    </row>
    <row r="1043" outlineLevel="1" ht="72.5" customFormat="1" customHeight="1" s="36">
      <c r="A1043" s="37">
        <f>A1025&amp;"_"&amp;B1043</f>
        <v/>
      </c>
      <c r="B1043" s="42" t="n">
        <v>17</v>
      </c>
      <c r="C1043" s="185" t="n"/>
      <c r="D1043" s="185" t="n"/>
      <c r="E1043" s="45" t="inlineStr">
        <is>
          <t>• Data or message corruption/ repetition*/ loss*/ delay*/ masquerading or incorrect addressing of information*
数据或信息的损坏/重复/丢失/延迟/伪装或信息的错误标识*</t>
        </is>
      </c>
      <c r="F1043" s="53" t="inlineStr">
        <is>
          <t>not applicable</t>
        </is>
      </c>
      <c r="G1043" s="55" t="n"/>
      <c r="H1043" s="47" t="n"/>
      <c r="I1043" s="47" t="n"/>
      <c r="J1043" s="49" t="n"/>
      <c r="K1043" s="49" t="n"/>
      <c r="L1043" s="49" t="n"/>
      <c r="M1043" s="49" t="n"/>
    </row>
    <row r="1044" outlineLevel="1" ht="49" customFormat="1" customHeight="1" s="36">
      <c r="A1044" s="37">
        <f>A1025&amp;"_"&amp;B1044</f>
        <v/>
      </c>
      <c r="B1044" s="50" t="n">
        <v>18</v>
      </c>
      <c r="C1044" s="185" t="n"/>
      <c r="D1044" s="185" t="n"/>
      <c r="E1044" s="45" t="inlineStr">
        <is>
          <t>• Insertion*/ sequence of information*
插入* / 信息序列*</t>
        </is>
      </c>
      <c r="F1044" s="53" t="inlineStr">
        <is>
          <t>not applicable</t>
        </is>
      </c>
      <c r="G1044" s="55" t="n"/>
      <c r="H1044" s="47" t="n"/>
      <c r="I1044" s="47" t="n"/>
      <c r="J1044" s="49" t="n"/>
      <c r="K1044" s="49" t="n"/>
      <c r="L1044" s="49" t="n"/>
      <c r="M1044" s="49" t="n"/>
    </row>
    <row r="1045" outlineLevel="1" ht="48" customFormat="1" customHeight="1" s="36">
      <c r="A1045" s="37">
        <f>A1025&amp;"_"&amp;B1045</f>
        <v/>
      </c>
      <c r="B1045" s="42" t="n">
        <v>19</v>
      </c>
      <c r="C1045" s="185" t="n"/>
      <c r="D1045" s="185" t="n"/>
      <c r="E1045" s="45" t="inlineStr">
        <is>
          <t>• Corruption of information*
信息的失真*</t>
        </is>
      </c>
      <c r="F1045" s="53" t="inlineStr">
        <is>
          <t>not applicable</t>
        </is>
      </c>
      <c r="G1045" s="55" t="n"/>
      <c r="H1045" s="47" t="n"/>
      <c r="I1045" s="47" t="n"/>
      <c r="J1045" s="49" t="n"/>
      <c r="K1045" s="49" t="n"/>
      <c r="L1045" s="49" t="n"/>
      <c r="M1045" s="49" t="n"/>
    </row>
    <row r="1046" outlineLevel="1" ht="48" customFormat="1" customHeight="1" s="36">
      <c r="A1046" s="37">
        <f>A1025&amp;"_"&amp;B1046</f>
        <v/>
      </c>
      <c r="B1046" s="50" t="n">
        <v>20</v>
      </c>
      <c r="C1046" s="185" t="n"/>
      <c r="D1046" s="185" t="n"/>
      <c r="E1046" s="45" t="inlineStr">
        <is>
          <t>• Asymmetric information sent from a sender to multiple receivers*
从发送者传向多个接收者的不对称信息*</t>
        </is>
      </c>
      <c r="F1046" s="53" t="inlineStr">
        <is>
          <t>not applicable</t>
        </is>
      </c>
      <c r="G1046" s="55" t="n"/>
      <c r="H1046" s="47" t="n"/>
      <c r="I1046" s="47" t="n"/>
      <c r="J1046" s="49" t="n"/>
      <c r="K1046" s="49" t="n"/>
      <c r="L1046" s="49" t="n"/>
      <c r="M1046" s="49" t="n"/>
    </row>
    <row r="1047" outlineLevel="1" ht="48" customFormat="1" customHeight="1" s="36">
      <c r="A1047" s="37">
        <f>A1025&amp;"_"&amp;B1047</f>
        <v/>
      </c>
      <c r="B1047" s="42" t="n">
        <v>21</v>
      </c>
      <c r="C1047" s="185" t="n"/>
      <c r="D1047" s="185" t="n"/>
      <c r="E1047" s="45" t="inlineStr">
        <is>
          <t>• Information from a sender received by only a subset of the receivers*
仅部分接收者接收到的来自发送者的信息*</t>
        </is>
      </c>
      <c r="F1047" s="53" t="inlineStr">
        <is>
          <t>not applicable</t>
        </is>
      </c>
      <c r="G1047" s="55" t="n"/>
      <c r="H1047" s="47" t="n"/>
      <c r="I1047" s="47" t="n"/>
      <c r="J1047" s="49" t="n"/>
      <c r="K1047" s="49" t="n"/>
      <c r="L1047" s="49" t="n"/>
      <c r="M1047" s="49" t="n"/>
    </row>
    <row r="1048" outlineLevel="1" ht="43.5" customFormat="1" customHeight="1" s="36">
      <c r="A1048" s="37">
        <f>A1025&amp;"_"&amp;B1048</f>
        <v/>
      </c>
      <c r="B1048" s="50" t="n">
        <v>22</v>
      </c>
      <c r="C1048" s="186" t="n"/>
      <c r="D1048" s="186" t="n"/>
      <c r="E1048" s="45" t="inlineStr">
        <is>
          <t>• Blocking access to a communication channel*
阻止对通信通道的访问*</t>
        </is>
      </c>
      <c r="F1048" s="53" t="inlineStr">
        <is>
          <t>not applicable</t>
        </is>
      </c>
      <c r="G1048" s="46" t="n"/>
      <c r="H1048" s="47" t="n"/>
      <c r="I1048" s="47" t="n"/>
      <c r="J1048" s="48" t="n"/>
      <c r="K1048" s="49" t="n"/>
      <c r="L1048" s="49" t="n"/>
      <c r="M1048" s="49" t="n"/>
    </row>
    <row r="1049" outlineLevel="1" ht="45" customFormat="1" customHeight="1" s="36">
      <c r="A1049" s="37">
        <f>A1025&amp;"_"&amp;B1049</f>
        <v/>
      </c>
      <c r="B1049" s="42" t="n">
        <v>23</v>
      </c>
      <c r="C1049" s="187" t="inlineStr">
        <is>
          <t>Shared information
inputs</t>
        </is>
      </c>
      <c r="D1049" s="187" t="inlineStr">
        <is>
          <t>Same information consumed by the two functions even in absence of shared resources, i.e. from a functional perspective</t>
        </is>
      </c>
      <c r="E1049" s="45" t="inlineStr">
        <is>
          <t>• Calibration parameters
标准参数</t>
        </is>
      </c>
      <c r="F1049" s="53" t="inlineStr">
        <is>
          <t>not applicable</t>
        </is>
      </c>
      <c r="G1049" s="55" t="n"/>
      <c r="H1049" s="47" t="n"/>
      <c r="I1049" s="47" t="n"/>
      <c r="J1049" s="49" t="n"/>
      <c r="K1049" s="49" t="n"/>
      <c r="L1049" s="49" t="n"/>
      <c r="M1049" s="49" t="n"/>
    </row>
    <row r="1050" outlineLevel="1" ht="57" customFormat="1" customHeight="1" s="36">
      <c r="A1050" s="37">
        <f>A1025&amp;"_"&amp;B1050</f>
        <v/>
      </c>
      <c r="B1050" s="50" t="n">
        <v>24</v>
      </c>
      <c r="C1050" s="185" t="n"/>
      <c r="D1050" s="185" t="n"/>
      <c r="E1050" s="45" t="inlineStr">
        <is>
          <t>• Constants, or variables, being global to the two software functions
常量或变量对于这两个软件功能而言是全局性的。</t>
        </is>
      </c>
      <c r="F1050" s="53" t="inlineStr">
        <is>
          <t>not applicable</t>
        </is>
      </c>
      <c r="G1050" s="46" t="n"/>
      <c r="H1050" s="47" t="n"/>
      <c r="I1050" s="47" t="n"/>
      <c r="J1050" s="48" t="n"/>
      <c r="K1050" s="49" t="n"/>
      <c r="L1050" s="49" t="n"/>
      <c r="M1050" s="49" t="n"/>
    </row>
    <row r="1051" outlineLevel="1" ht="100" customFormat="1" customHeight="1" s="36">
      <c r="A1051" s="37">
        <f>A1025&amp;"_"&amp;B1051</f>
        <v/>
      </c>
      <c r="B1051" s="42" t="n">
        <v>25</v>
      </c>
      <c r="C1051" s="185" t="n"/>
      <c r="D1051" s="185" t="n"/>
      <c r="E1051" s="45" t="inlineStr">
        <is>
          <t>• Basic software passes data (read from hardware register and converted into logical information) to two application software functions
基础软件会将数据（从硬件寄存器读取并转换为逻辑信息）传递给两个应用程序软件功能。</t>
        </is>
      </c>
      <c r="F1051" s="53" t="inlineStr">
        <is>
          <t>not applicable</t>
        </is>
      </c>
      <c r="G1051" s="55" t="n"/>
      <c r="H1051" s="47" t="n"/>
      <c r="I1051" s="47" t="n"/>
      <c r="J1051" s="49" t="n"/>
      <c r="K1051" s="49" t="n"/>
      <c r="L1051" s="49" t="n"/>
      <c r="M1051" s="49" t="n"/>
    </row>
    <row r="1052" outlineLevel="1" ht="115.5" customFormat="1" customHeight="1" s="36">
      <c r="A1052" s="37">
        <f>A1025&amp;"_"&amp;B1052</f>
        <v/>
      </c>
      <c r="B1052" s="50" t="n">
        <v>26</v>
      </c>
      <c r="C1052" s="186" t="n"/>
      <c r="D1052" s="186" t="n"/>
      <c r="E1052" s="45" t="inlineStr">
        <is>
          <t>• Data / function parameter arguments / messages delivered by software function to more than one other function
See also “Communication between the two functions”
数据/函数参数参数/软件函数传递给其他多个函数的消息
另请参阅“两个函数之间的通信”</t>
        </is>
      </c>
      <c r="F1052" s="53" t="inlineStr">
        <is>
          <t>not applicable</t>
        </is>
      </c>
      <c r="G1052" s="55" t="n"/>
      <c r="H1052" s="47" t="n"/>
      <c r="I1052" s="47" t="n"/>
      <c r="J1052" s="49" t="n"/>
      <c r="K1052" s="49" t="n"/>
      <c r="L1052" s="49" t="n"/>
      <c r="M1052" s="49" t="n"/>
    </row>
    <row r="1053" outlineLevel="1" ht="68.5" customFormat="1" customHeight="1" s="36">
      <c r="A1053" s="37">
        <f>A1025&amp;"_"&amp;B1053</f>
        <v/>
      </c>
      <c r="B1053" s="42" t="n">
        <v>27</v>
      </c>
      <c r="C1053" s="187" t="inlineStr">
        <is>
          <t>Environmental
influences</t>
        </is>
      </c>
      <c r="D1053" s="184" t="inlineStr">
        <is>
          <t>Common external environmental disturbance affects both functions</t>
        </is>
      </c>
      <c r="E1053" s="45" t="inlineStr">
        <is>
          <t xml:space="preserve">System-level: mechanical shock, water ingress
 系统层面：机械震动、进水                                                                                                                                                                </t>
        </is>
      </c>
      <c r="F1053" s="53" t="inlineStr">
        <is>
          <t>not applicable</t>
        </is>
      </c>
      <c r="G1053" s="55" t="n"/>
      <c r="H1053" s="47" t="n"/>
      <c r="I1053" s="47" t="n"/>
      <c r="J1053" s="49" t="n"/>
      <c r="K1053" s="49" t="n"/>
      <c r="L1053" s="49" t="n"/>
      <c r="M1053" s="49" t="n"/>
    </row>
    <row r="1054" outlineLevel="1" ht="28.5" customFormat="1" customHeight="1" s="36">
      <c r="A1054" s="37">
        <f>A1025&amp;"_"&amp;B1054</f>
        <v/>
      </c>
      <c r="B1054" s="50" t="n">
        <v>28</v>
      </c>
      <c r="C1054" s="185" t="n"/>
      <c r="D1054" s="185" t="n"/>
      <c r="E1054" s="45" t="inlineStr">
        <is>
          <t>Software-level: not applicable for Software
软件层面：不适用于软件</t>
        </is>
      </c>
      <c r="F1054" s="53" t="inlineStr">
        <is>
          <t>not applicable</t>
        </is>
      </c>
      <c r="G1054" s="55" t="n"/>
      <c r="H1054" s="47" t="n"/>
      <c r="I1054" s="47" t="n"/>
      <c r="J1054" s="49" t="n"/>
      <c r="K1054" s="49" t="n"/>
      <c r="L1054" s="49" t="n"/>
      <c r="M1054" s="49" t="n"/>
    </row>
    <row r="1055" outlineLevel="1" ht="43" customFormat="1" customHeight="1" s="36">
      <c r="A1055" s="37">
        <f>A1025&amp;"_"&amp;B1055</f>
        <v/>
      </c>
      <c r="B1055" s="42" t="n">
        <v>29</v>
      </c>
      <c r="C1055" s="186" t="n"/>
      <c r="D1055" s="186" t="n"/>
      <c r="E1055" s="45" t="inlineStr">
        <is>
          <t>Hardware-level: under and over voltage of the power supply        
硬件层面：电源的欠压和过压情况</t>
        </is>
      </c>
      <c r="F1055" s="53" t="inlineStr">
        <is>
          <t>not applicable</t>
        </is>
      </c>
      <c r="G1055" s="55" t="n"/>
      <c r="H1055" s="47" t="n"/>
      <c r="I1055" s="47" t="n"/>
      <c r="J1055" s="49" t="n"/>
      <c r="K1055" s="49" t="n"/>
      <c r="L1055" s="49" t="n"/>
      <c r="M1055" s="49" t="n"/>
    </row>
    <row r="1056" outlineLevel="1" ht="72.5" customFormat="1" customHeight="1" s="36">
      <c r="A1056" s="37">
        <f>A1025&amp;"_"&amp;B1056</f>
        <v/>
      </c>
      <c r="B1056" s="50" t="n">
        <v>30</v>
      </c>
      <c r="C1056" s="187" t="inlineStr">
        <is>
          <t>Unintended impact</t>
        </is>
      </c>
      <c r="D1056" s="187" t="inlineStr">
        <is>
          <t>Two functions affecting each other’s elements directly via an implicit, that is unintended interface.</t>
        </is>
      </c>
      <c r="E1056" s="45" t="inlineStr">
        <is>
          <t>• Memory / corruption of content*
– “wild pointers“ (including program counter stack)
内存/内容损坏*
——“失控指针”（包括程序计数器栈</t>
        </is>
      </c>
      <c r="F1056" s="45" t="inlineStr">
        <is>
          <t xml:space="preserve">Yes </t>
        </is>
      </c>
      <c r="G1056" s="62" t="inlineStr">
        <is>
          <t>不违背安全目标</t>
        </is>
      </c>
      <c r="H1056" s="47" t="inlineStr">
        <is>
          <t>1：支持硬线制动灯点亮</t>
        </is>
      </c>
      <c r="I1056" s="47" t="inlineStr">
        <is>
          <t>SW_DFA_SM_001</t>
        </is>
      </c>
      <c r="J1056" s="48" t="inlineStr">
        <is>
          <t>通过集成测试</t>
        </is>
      </c>
      <c r="K1056" s="49" t="inlineStr">
        <is>
          <t>满足ASILB开发和测试</t>
        </is>
      </c>
      <c r="L1056" s="49" t="n"/>
      <c r="M1056" s="49" t="n"/>
    </row>
    <row r="1057" outlineLevel="1" ht="29" customFormat="1" customHeight="1" s="36">
      <c r="A1057" s="37">
        <f>A1025&amp;"_"&amp;B1057</f>
        <v/>
      </c>
      <c r="B1057" s="42" t="n">
        <v>31</v>
      </c>
      <c r="C1057" s="185" t="n"/>
      <c r="D1057" s="185" t="n"/>
      <c r="E1057" s="45" t="inlineStr">
        <is>
          <t>– memory mis-allocation
——内存分配错误</t>
        </is>
      </c>
      <c r="F1057" s="45" t="inlineStr">
        <is>
          <t xml:space="preserve">Yes </t>
        </is>
      </c>
      <c r="G1057" s="62" t="inlineStr">
        <is>
          <t>不违背安全目标</t>
        </is>
      </c>
      <c r="H1057" s="47" t="inlineStr">
        <is>
          <t>1：支持硬线制动灯点亮</t>
        </is>
      </c>
      <c r="I1057" s="47" t="inlineStr">
        <is>
          <t>SW_DFA_SM_001</t>
        </is>
      </c>
      <c r="J1057" s="48" t="inlineStr">
        <is>
          <t>通过集成测试</t>
        </is>
      </c>
      <c r="K1057" s="49" t="inlineStr">
        <is>
          <t>满足ASILB开发和测试</t>
        </is>
      </c>
      <c r="L1057" s="49" t="n"/>
      <c r="M1057" s="49" t="n"/>
    </row>
    <row r="1058" outlineLevel="1" ht="28.5" customFormat="1" customHeight="1" s="36">
      <c r="A1058" s="37">
        <f>A1025&amp;"_"&amp;B1058</f>
        <v/>
      </c>
      <c r="B1058" s="50" t="n">
        <v>32</v>
      </c>
      <c r="C1058" s="185" t="n"/>
      <c r="D1058" s="185" t="n"/>
      <c r="E1058" s="45" t="inlineStr">
        <is>
          <t>– memory leaks
内存泄漏</t>
        </is>
      </c>
      <c r="F1058" s="45" t="inlineStr">
        <is>
          <t xml:space="preserve">Yes </t>
        </is>
      </c>
      <c r="G1058" s="62" t="inlineStr">
        <is>
          <t>不违背安全目标</t>
        </is>
      </c>
      <c r="H1058" s="47" t="inlineStr">
        <is>
          <t>1：支持硬线制动灯点亮</t>
        </is>
      </c>
      <c r="I1058" s="47" t="inlineStr">
        <is>
          <t>SW_DFA_SM_001</t>
        </is>
      </c>
      <c r="J1058" s="48" t="inlineStr">
        <is>
          <t>通过集成测试</t>
        </is>
      </c>
      <c r="K1058" s="49" t="inlineStr">
        <is>
          <t>满足ASILB开发和测试</t>
        </is>
      </c>
      <c r="L1058" s="49" t="n"/>
      <c r="M1058" s="49" t="n"/>
    </row>
    <row r="1059" outlineLevel="1" ht="58" customFormat="1" customHeight="1" s="36">
      <c r="A1059" s="37">
        <f>A1025&amp;"_"&amp;B1059</f>
        <v/>
      </c>
      <c r="B1059" s="42" t="n">
        <v>33</v>
      </c>
      <c r="C1059" s="185" t="n"/>
      <c r="D1059" s="185" t="n"/>
      <c r="E1059" s="45" t="inlineStr">
        <is>
          <t>– read/write access to memory allocated to another software element*
—— 对分配给其他软件组件的内存的读/写访问权限*</t>
        </is>
      </c>
      <c r="F1059" s="53" t="inlineStr">
        <is>
          <t>not applicable</t>
        </is>
      </c>
      <c r="G1059" s="55" t="n"/>
      <c r="H1059" s="47" t="n"/>
      <c r="I1059" s="47" t="n"/>
      <c r="J1059" s="49" t="n"/>
      <c r="K1059" s="49" t="n"/>
      <c r="L1059" s="49" t="n"/>
      <c r="M1059" s="49" t="n"/>
    </row>
    <row r="1060" outlineLevel="1" ht="29" customFormat="1" customHeight="1" s="36">
      <c r="A1060" s="37">
        <f>A1025&amp;"_"&amp;B1060</f>
        <v/>
      </c>
      <c r="B1060" s="50" t="n">
        <v>34</v>
      </c>
      <c r="C1060" s="185" t="n"/>
      <c r="D1060" s="185" t="n"/>
      <c r="E1060" s="45" t="inlineStr">
        <is>
          <t>– buffer under-/overflow
– 缓冲区下溢/上溢</t>
        </is>
      </c>
      <c r="F1060" s="53" t="inlineStr">
        <is>
          <t>not applicable</t>
        </is>
      </c>
      <c r="G1060" s="55" t="n"/>
      <c r="H1060" s="47" t="n"/>
      <c r="I1060" s="47" t="n"/>
      <c r="J1060" s="49" t="n"/>
      <c r="K1060" s="49" t="n"/>
      <c r="L1060" s="49" t="n"/>
      <c r="M1060" s="49" t="n"/>
    </row>
    <row r="1061" outlineLevel="1" ht="57.5" customFormat="1" customHeight="1" s="36">
      <c r="A1061" s="37">
        <f>A1025&amp;"_"&amp;B1061</f>
        <v/>
      </c>
      <c r="B1061" s="42" t="n">
        <v>35</v>
      </c>
      <c r="C1061" s="185" t="n"/>
      <c r="D1061" s="185" t="n"/>
      <c r="E1061" s="45" t="inlineStr">
        <is>
          <t>• Timing and execution
– deadlocks*
时机与执行
——死锁*</t>
        </is>
      </c>
      <c r="F1061" s="53" t="inlineStr">
        <is>
          <t>not applicable</t>
        </is>
      </c>
      <c r="G1061" s="55" t="n"/>
      <c r="H1061" s="47" t="n"/>
      <c r="I1061" s="47" t="n"/>
      <c r="J1061" s="49" t="n"/>
      <c r="K1061" s="49" t="n"/>
      <c r="L1061" s="49" t="n"/>
      <c r="M1061" s="49" t="n"/>
    </row>
    <row r="1062" outlineLevel="1" ht="28.5" customFormat="1" customHeight="1" s="36">
      <c r="A1062" s="37">
        <f>A1025&amp;"_"&amp;B1062</f>
        <v/>
      </c>
      <c r="B1062" s="50" t="n">
        <v>36</v>
      </c>
      <c r="C1062" s="185" t="n"/>
      <c r="D1062" s="185" t="n"/>
      <c r="E1062" s="45" t="inlineStr">
        <is>
          <t>– livelocks*
活锁</t>
        </is>
      </c>
      <c r="F1062" s="53" t="inlineStr">
        <is>
          <t>not applicable</t>
        </is>
      </c>
      <c r="G1062" s="55" t="n"/>
      <c r="H1062" s="47" t="n"/>
      <c r="I1062" s="47" t="n"/>
      <c r="J1062" s="49" t="n"/>
      <c r="K1062" s="49" t="n"/>
      <c r="L1062" s="49" t="n"/>
      <c r="M1062" s="49" t="n"/>
    </row>
    <row r="1063" outlineLevel="1" ht="29" customFormat="1" customHeight="1" s="36">
      <c r="A1063" s="37">
        <f>A1025&amp;"_"&amp;B1063</f>
        <v/>
      </c>
      <c r="B1063" s="42" t="n">
        <v>37</v>
      </c>
      <c r="C1063" s="185" t="n"/>
      <c r="D1063" s="185" t="n"/>
      <c r="E1063" s="45" t="inlineStr">
        <is>
          <t>– incorrect allocation of execution time*
——执行时间分配不当*</t>
        </is>
      </c>
      <c r="F1063" s="53" t="inlineStr">
        <is>
          <t>not applicable</t>
        </is>
      </c>
      <c r="G1063" s="55" t="n"/>
      <c r="H1063" s="47" t="n"/>
      <c r="I1063" s="47" t="n"/>
      <c r="J1063" s="49" t="n"/>
      <c r="K1063" s="49" t="n"/>
      <c r="L1063" s="49" t="n"/>
      <c r="M1063" s="49" t="n"/>
    </row>
    <row r="1064" outlineLevel="1" ht="43.5" customFormat="1" customHeight="1" s="36">
      <c r="A1064" s="37">
        <f>A1025&amp;"_"&amp;B1064</f>
        <v/>
      </c>
      <c r="B1064" s="50" t="n">
        <v>38</v>
      </c>
      <c r="C1064" s="186" t="n"/>
      <c r="D1064" s="186" t="n"/>
      <c r="E1064" s="45" t="inlineStr">
        <is>
          <t>– incorrect synchronization between software elements*
——软件各组成部分之间的同步不正确*</t>
        </is>
      </c>
      <c r="F1064" s="53" t="inlineStr">
        <is>
          <t>not applicable</t>
        </is>
      </c>
      <c r="G1064" s="46" t="n"/>
      <c r="H1064" s="47" t="n"/>
      <c r="I1064" s="47" t="n"/>
      <c r="J1064" s="48" t="n"/>
      <c r="K1064" s="49" t="n"/>
      <c r="L1064" s="49" t="n"/>
      <c r="M1064" s="49" t="n"/>
    </row>
    <row r="1065" outlineLevel="1" ht="72" customFormat="1" customHeight="1" s="36">
      <c r="A1065" s="37">
        <f>A1025&amp;"_"&amp;B1065</f>
        <v/>
      </c>
      <c r="B1065" s="42" t="n">
        <v>39</v>
      </c>
      <c r="C1065" s="187" t="inlineStr">
        <is>
          <t>Systematic coupling</t>
        </is>
      </c>
      <c r="D1065" s="187" t="inlineStr">
        <is>
          <t>Systematic causes from human or tool errors can lead to the simultaneous failure of more than one function</t>
        </is>
      </c>
      <c r="E1065" s="45" t="inlineStr">
        <is>
          <t>• Manufacturing fault / repair fault (e.g. false flashing, false calibration reference for sensors)
制造故障/维修故障（例如：错误的闪烁现象、传感器的错误校准参考值）</t>
        </is>
      </c>
      <c r="F1065" s="53" t="inlineStr">
        <is>
          <t>not applicable</t>
        </is>
      </c>
      <c r="G1065" s="55" t="n"/>
      <c r="H1065" s="47" t="n"/>
      <c r="I1065" s="47" t="n"/>
      <c r="J1065" s="49" t="n"/>
      <c r="K1065" s="49" t="n"/>
      <c r="L1065" s="49" t="n"/>
      <c r="M1065" s="49" t="n"/>
    </row>
    <row r="1066" outlineLevel="1" ht="115.5" customFormat="1" customHeight="1" s="36">
      <c r="A1066" s="37">
        <f>A1025&amp;"_"&amp;B1066</f>
        <v/>
      </c>
      <c r="B1066" s="50" t="n">
        <v>40</v>
      </c>
      <c r="C1066" s="185" t="n"/>
      <c r="D1066" s="185" t="n"/>
      <c r="E1066" s="61" t="inlineStr">
        <is>
          <t xml:space="preserve">• Non-diverse development approaches including:
– same software tools (e.g. IDE, compiler, linker)
非多元化的发展方式包括：
——相同的软件工具（例如集成开发环境、编译器、链接器）
</t>
        </is>
      </c>
      <c r="F1066" s="45" t="inlineStr">
        <is>
          <t xml:space="preserve">Yes </t>
        </is>
      </c>
      <c r="G1066" s="62" t="inlineStr">
        <is>
          <t>代码异常导致的违背安全目标</t>
        </is>
      </c>
      <c r="H1066" s="63" t="inlineStr">
        <is>
          <t>工具鉴定</t>
        </is>
      </c>
      <c r="I1066" s="63" t="n"/>
      <c r="J1066" s="49" t="inlineStr">
        <is>
          <t>通过集成测试</t>
        </is>
      </c>
      <c r="K1066" s="68" t="inlineStr">
        <is>
          <t>满足ASILB开发和测试</t>
        </is>
      </c>
      <c r="L1066" s="68" t="n"/>
      <c r="M1066" s="49" t="n"/>
    </row>
    <row r="1067" outlineLevel="1" ht="28.5" customFormat="1" customHeight="1" s="36">
      <c r="A1067" s="37">
        <f>A1025&amp;"_"&amp;B1067</f>
        <v/>
      </c>
      <c r="B1067" s="42" t="n">
        <v>41</v>
      </c>
      <c r="C1067" s="185" t="n"/>
      <c r="D1067" s="185" t="n"/>
      <c r="E1067" s="61" t="inlineStr">
        <is>
          <t>– same algorithms
相同的算法</t>
        </is>
      </c>
      <c r="F1067" s="53" t="inlineStr">
        <is>
          <t>not applicable</t>
        </is>
      </c>
      <c r="G1067" s="54" t="n"/>
      <c r="H1067" s="47" t="n"/>
      <c r="I1067" s="47" t="n"/>
      <c r="J1067" s="48" t="n"/>
      <c r="K1067" s="49" t="n"/>
      <c r="L1067" s="49" t="n"/>
      <c r="M1067" s="49" t="n"/>
    </row>
    <row r="1068" outlineLevel="1" ht="43.5" customFormat="1" customHeight="1" s="36">
      <c r="A1068" s="37">
        <f>A1025&amp;"_"&amp;B1068</f>
        <v/>
      </c>
      <c r="B1068" s="50" t="n">
        <v>42</v>
      </c>
      <c r="C1068" s="185" t="n"/>
      <c r="D1068" s="185" t="n"/>
      <c r="E1068" s="61" t="inlineStr">
        <is>
          <t>– same programming and/or modelling language used
所使用的编程和/或建模语言相同</t>
        </is>
      </c>
      <c r="F1068" s="45" t="inlineStr">
        <is>
          <t xml:space="preserve">Yes </t>
        </is>
      </c>
      <c r="G1068" s="62" t="inlineStr">
        <is>
          <t>代码异常导致的违背安全目标</t>
        </is>
      </c>
      <c r="H1068" s="63" t="inlineStr">
        <is>
          <t>工具鉴定</t>
        </is>
      </c>
      <c r="I1068" s="47" t="n"/>
      <c r="J1068" s="49" t="inlineStr">
        <is>
          <t>通过集成测试</t>
        </is>
      </c>
      <c r="K1068" s="49" t="inlineStr">
        <is>
          <t>满足ASILB开发和测试</t>
        </is>
      </c>
      <c r="L1068" s="49" t="n"/>
      <c r="M1068" s="49" t="n"/>
    </row>
    <row r="1069" outlineLevel="1" ht="29" customFormat="1" customHeight="1" s="36">
      <c r="A1069" s="37">
        <f>A1025&amp;"_"&amp;B1069</f>
        <v/>
      </c>
      <c r="B1069" s="42" t="n">
        <v>43</v>
      </c>
      <c r="C1069" s="185" t="n"/>
      <c r="D1069" s="185" t="n"/>
      <c r="E1069" s="61" t="inlineStr">
        <is>
          <t>– same complier/linker used
使用的是相同的编译器/链接器</t>
        </is>
      </c>
      <c r="F1069" s="45" t="inlineStr">
        <is>
          <t xml:space="preserve">Yes </t>
        </is>
      </c>
      <c r="G1069" s="62" t="inlineStr">
        <is>
          <t>代码异常导致的违背安全目标</t>
        </is>
      </c>
      <c r="H1069" s="63" t="inlineStr">
        <is>
          <t>工具鉴定</t>
        </is>
      </c>
      <c r="I1069" s="47" t="n"/>
      <c r="J1069" s="49" t="inlineStr">
        <is>
          <t>通过集成测试</t>
        </is>
      </c>
      <c r="K1069" s="49" t="inlineStr">
        <is>
          <t>满足ASILB开发和测试</t>
        </is>
      </c>
      <c r="L1069" s="49" t="n"/>
      <c r="M1069" s="49" t="n"/>
    </row>
    <row r="1070" outlineLevel="1" ht="28.5" customFormat="1" customHeight="1" s="36">
      <c r="A1070" s="37">
        <f>A1025&amp;"_"&amp;B1070</f>
        <v/>
      </c>
      <c r="B1070" s="50" t="n">
        <v>44</v>
      </c>
      <c r="C1070" s="185" t="n"/>
      <c r="D1070" s="185" t="n"/>
      <c r="E1070" s="45" t="inlineStr">
        <is>
          <t>• Same personnel
相同人员</t>
        </is>
      </c>
      <c r="F1070" s="53" t="inlineStr">
        <is>
          <t>not applicable</t>
        </is>
      </c>
      <c r="G1070" s="55" t="n"/>
      <c r="H1070" s="47" t="n"/>
      <c r="I1070" s="47" t="n"/>
      <c r="J1070" s="49" t="n"/>
      <c r="K1070" s="49" t="n"/>
      <c r="L1070" s="49" t="n"/>
      <c r="M1070" s="49" t="n"/>
    </row>
    <row r="1071" outlineLevel="1" ht="57" customFormat="1" customHeight="1" s="36">
      <c r="A1071" s="37">
        <f>A1025&amp;"_"&amp;B1071</f>
        <v/>
      </c>
      <c r="B1071" s="42" t="n">
        <v>45</v>
      </c>
      <c r="C1071" s="185" t="n"/>
      <c r="D1071" s="185" t="n"/>
      <c r="E1071" s="45" t="inlineStr">
        <is>
          <t>• Same social-cultural context (even if different personnel)
相同的社会文化背景（即便人员有所不同）</t>
        </is>
      </c>
      <c r="F1071" s="53" t="inlineStr">
        <is>
          <t>not applicable</t>
        </is>
      </c>
      <c r="G1071" s="55" t="n"/>
      <c r="H1071" s="47" t="n"/>
      <c r="I1071" s="47" t="n"/>
      <c r="J1071" s="49" t="n"/>
      <c r="K1071" s="49" t="n"/>
      <c r="L1071" s="49" t="n"/>
      <c r="M1071" s="49" t="n"/>
    </row>
    <row r="1072" outlineLevel="1" ht="57.5" customFormat="1" customHeight="1" s="36">
      <c r="A1072" s="37">
        <f>A1025&amp;"_"&amp;B1072</f>
        <v/>
      </c>
      <c r="B1072" s="50" t="n">
        <v>46</v>
      </c>
      <c r="C1072" s="185" t="n"/>
      <c r="D1072" s="185" t="n"/>
      <c r="E1072" s="45" t="inlineStr">
        <is>
          <t>• Development fault, e.g.
– human error
开发失误，例如：
– 人为错误</t>
        </is>
      </c>
      <c r="F1072" s="53" t="inlineStr">
        <is>
          <t>not applicable</t>
        </is>
      </c>
      <c r="G1072" s="55" t="n"/>
      <c r="H1072" s="47" t="n"/>
      <c r="I1072" s="47" t="n"/>
      <c r="J1072" s="49" t="n"/>
      <c r="K1072" s="49" t="n"/>
      <c r="L1072" s="49" t="n"/>
      <c r="M1072" s="49" t="n"/>
    </row>
    <row r="1073" outlineLevel="1" ht="28.5" customFormat="1" customHeight="1" s="36">
      <c r="A1073" s="37">
        <f>A1025&amp;"_"&amp;B1073</f>
        <v/>
      </c>
      <c r="B1073" s="42" t="n">
        <v>47</v>
      </c>
      <c r="C1073" s="185" t="n"/>
      <c r="D1073" s="185" t="n"/>
      <c r="E1073" s="45" t="inlineStr">
        <is>
          <t>– insufficiently qualified personnel
资质不足的人员</t>
        </is>
      </c>
      <c r="F1073" s="53" t="inlineStr">
        <is>
          <t>not applicable</t>
        </is>
      </c>
      <c r="G1073" s="55" t="n"/>
      <c r="H1073" s="47" t="n"/>
      <c r="I1073" s="47" t="n"/>
      <c r="J1073" s="49" t="n"/>
      <c r="K1073" s="49" t="n"/>
      <c r="L1073" s="49" t="n"/>
      <c r="M1073" s="49" t="n"/>
    </row>
    <row r="1074" outlineLevel="1" ht="28.5" customFormat="1" customHeight="1" s="36">
      <c r="A1074" s="37">
        <f>A1025&amp;"_"&amp;B1074</f>
        <v/>
      </c>
      <c r="B1074" s="50" t="n">
        <v>48</v>
      </c>
      <c r="C1074" s="185" t="n"/>
      <c r="D1074" s="185" t="n"/>
      <c r="E1074" s="45" t="inlineStr">
        <is>
          <t>– process weaknesses
处理弱点</t>
        </is>
      </c>
      <c r="F1074" s="53" t="inlineStr">
        <is>
          <t>not applicable</t>
        </is>
      </c>
      <c r="G1074" s="55" t="n"/>
      <c r="H1074" s="47" t="n"/>
      <c r="I1074" s="47" t="n"/>
      <c r="J1074" s="49" t="n"/>
      <c r="K1074" s="49" t="n"/>
      <c r="L1074" s="49" t="n"/>
      <c r="M1074" s="49" t="n"/>
    </row>
    <row r="1075" outlineLevel="1" ht="26" customFormat="1" customHeight="1" s="36">
      <c r="A1075" s="37">
        <f>A1025&amp;"_"&amp;B1075</f>
        <v/>
      </c>
      <c r="B1075" s="42" t="n">
        <v>49</v>
      </c>
      <c r="C1075" s="186" t="n"/>
      <c r="D1075" s="186" t="n"/>
      <c r="E1075" s="45" t="inlineStr">
        <is>
          <t>– insufficient methods方法不足</t>
        </is>
      </c>
      <c r="F1075" s="53" t="inlineStr">
        <is>
          <t>not applicable</t>
        </is>
      </c>
      <c r="G1075" s="55" t="n"/>
      <c r="H1075" s="47" t="n"/>
      <c r="I1075" s="47" t="n"/>
      <c r="J1075" s="49" t="n"/>
      <c r="K1075" s="49" t="n"/>
      <c r="L1075" s="49" t="n"/>
      <c r="M1075" s="49" t="n"/>
    </row>
  </sheetData>
  <mergeCells count="295">
    <mergeCell ref="D743:D746"/>
    <mergeCell ref="C504:C514"/>
    <mergeCell ref="D131:D134"/>
    <mergeCell ref="D526:D531"/>
    <mergeCell ref="D750:D758"/>
    <mergeCell ref="D160:D168"/>
    <mergeCell ref="C437:C440"/>
    <mergeCell ref="C634:C640"/>
    <mergeCell ref="C328:C334"/>
    <mergeCell ref="D845:D848"/>
    <mergeCell ref="C849:C851"/>
    <mergeCell ref="C1056:C1064"/>
    <mergeCell ref="D277:D283"/>
    <mergeCell ref="C14:C19"/>
    <mergeCell ref="C861:C871"/>
    <mergeCell ref="C708:C718"/>
    <mergeCell ref="C444:C452"/>
    <mergeCell ref="D577:D582"/>
    <mergeCell ref="C1042:C1048"/>
    <mergeCell ref="D1053:D1055"/>
    <mergeCell ref="C277:C283"/>
    <mergeCell ref="C198:C208"/>
    <mergeCell ref="D991:D997"/>
    <mergeCell ref="D495:D503"/>
    <mergeCell ref="D896:D899"/>
    <mergeCell ref="D328:D334"/>
    <mergeCell ref="D481:D487"/>
    <mergeCell ref="C985:C990"/>
    <mergeCell ref="C543:C545"/>
    <mergeCell ref="D226:D232"/>
    <mergeCell ref="D721:D729"/>
    <mergeCell ref="C373:C378"/>
    <mergeCell ref="D20:D26"/>
    <mergeCell ref="C475:C480"/>
    <mergeCell ref="C903:C911"/>
    <mergeCell ref="C852:C860"/>
    <mergeCell ref="D58:D66"/>
    <mergeCell ref="D84:D86"/>
    <mergeCell ref="D386:D389"/>
    <mergeCell ref="D453:D463"/>
    <mergeCell ref="D606:D616"/>
    <mergeCell ref="D31:D33"/>
    <mergeCell ref="D284:D287"/>
    <mergeCell ref="C1036:C1041"/>
    <mergeCell ref="C670:C678"/>
    <mergeCell ref="C823:C831"/>
    <mergeCell ref="C96:C106"/>
    <mergeCell ref="D798:D800"/>
    <mergeCell ref="C424:C429"/>
    <mergeCell ref="C577:C582"/>
    <mergeCell ref="C594:C596"/>
    <mergeCell ref="D186:D188"/>
    <mergeCell ref="C313:C321"/>
    <mergeCell ref="C351:C361"/>
    <mergeCell ref="C679:C684"/>
    <mergeCell ref="D118:D123"/>
    <mergeCell ref="C583:C589"/>
    <mergeCell ref="C951:C953"/>
    <mergeCell ref="C1005:C1013"/>
    <mergeCell ref="C657:C667"/>
    <mergeCell ref="C441:C443"/>
    <mergeCell ref="C555:C565"/>
    <mergeCell ref="D546:D554"/>
    <mergeCell ref="D963:D973"/>
    <mergeCell ref="D1056:D1064"/>
    <mergeCell ref="C787:C793"/>
    <mergeCell ref="C147:C157"/>
    <mergeCell ref="C84:C86"/>
    <mergeCell ref="D444:D452"/>
    <mergeCell ref="D169:D174"/>
    <mergeCell ref="D568:D576"/>
    <mergeCell ref="D708:D718"/>
    <mergeCell ref="C124:C130"/>
    <mergeCell ref="C619:C627"/>
    <mergeCell ref="D685:D691"/>
    <mergeCell ref="C645:C647"/>
    <mergeCell ref="C1049:C1052"/>
    <mergeCell ref="D198:D208"/>
    <mergeCell ref="D838:D844"/>
    <mergeCell ref="C794:C797"/>
    <mergeCell ref="C386:C389"/>
    <mergeCell ref="C492:C494"/>
    <mergeCell ref="C135:C137"/>
    <mergeCell ref="D175:D181"/>
    <mergeCell ref="D670:D678"/>
    <mergeCell ref="D555:D565"/>
    <mergeCell ref="D597:D605"/>
    <mergeCell ref="D696:D698"/>
    <mergeCell ref="C954:C962"/>
    <mergeCell ref="D402:D412"/>
    <mergeCell ref="D233:D236"/>
    <mergeCell ref="D87:D95"/>
    <mergeCell ref="C291:C299"/>
    <mergeCell ref="D27:D30"/>
    <mergeCell ref="D852:D860"/>
    <mergeCell ref="C940:C946"/>
    <mergeCell ref="C186:C188"/>
    <mergeCell ref="D747:D749"/>
    <mergeCell ref="C772:C780"/>
    <mergeCell ref="C430:C436"/>
    <mergeCell ref="D641:D644"/>
    <mergeCell ref="C810:C820"/>
    <mergeCell ref="C271:C276"/>
    <mergeCell ref="C963:C973"/>
    <mergeCell ref="D679:D684"/>
    <mergeCell ref="C262:C270"/>
    <mergeCell ref="C339:C341"/>
    <mergeCell ref="C288:C290"/>
    <mergeCell ref="C300:C310"/>
    <mergeCell ref="C335:C338"/>
    <mergeCell ref="C532:C538"/>
    <mergeCell ref="D583:D589"/>
    <mergeCell ref="C43:C53"/>
    <mergeCell ref="D794:D797"/>
    <mergeCell ref="C390:C392"/>
    <mergeCell ref="C240:C248"/>
    <mergeCell ref="C685:C691"/>
    <mergeCell ref="D517:D525"/>
    <mergeCell ref="D648:D656"/>
    <mergeCell ref="D801:D809"/>
    <mergeCell ref="D1065:D1075"/>
    <mergeCell ref="D138:D146"/>
    <mergeCell ref="C342:C350"/>
    <mergeCell ref="D787:D793"/>
    <mergeCell ref="D634:D640"/>
    <mergeCell ref="D34:D42"/>
    <mergeCell ref="C743:C746"/>
    <mergeCell ref="D124:D130"/>
    <mergeCell ref="D619:D627"/>
    <mergeCell ref="D628:D633"/>
    <mergeCell ref="D645:D647"/>
    <mergeCell ref="C131:C134"/>
    <mergeCell ref="C641:C644"/>
    <mergeCell ref="D699:D707"/>
    <mergeCell ref="C526:C531"/>
    <mergeCell ref="D759:D769"/>
    <mergeCell ref="C750:C758"/>
    <mergeCell ref="D730:D735"/>
    <mergeCell ref="D135:D137"/>
    <mergeCell ref="C160:C168"/>
    <mergeCell ref="D940:D946"/>
    <mergeCell ref="D182:D185"/>
    <mergeCell ref="C736:C742"/>
    <mergeCell ref="C393:C401"/>
    <mergeCell ref="D220:D225"/>
    <mergeCell ref="D849:D851"/>
    <mergeCell ref="C947:C950"/>
    <mergeCell ref="D14:D19"/>
    <mergeCell ref="D861:D871"/>
    <mergeCell ref="C730:C735"/>
    <mergeCell ref="C379:C385"/>
    <mergeCell ref="C874:C882"/>
    <mergeCell ref="C883:C888"/>
    <mergeCell ref="C900:C902"/>
    <mergeCell ref="D189:D197"/>
    <mergeCell ref="D339:D341"/>
    <mergeCell ref="D590:D593"/>
    <mergeCell ref="D1027:D1035"/>
    <mergeCell ref="C628:C633"/>
    <mergeCell ref="C211:C219"/>
    <mergeCell ref="C220:C225"/>
    <mergeCell ref="C237:C239"/>
    <mergeCell ref="C364:C372"/>
    <mergeCell ref="D424:D429"/>
    <mergeCell ref="C889:C895"/>
    <mergeCell ref="C109:C117"/>
    <mergeCell ref="D781:D786"/>
    <mergeCell ref="C226:C232"/>
    <mergeCell ref="C721:C729"/>
    <mergeCell ref="D832:D837"/>
    <mergeCell ref="C1065:C1075"/>
    <mergeCell ref="C415:C423"/>
    <mergeCell ref="C801:C809"/>
    <mergeCell ref="C453:C463"/>
    <mergeCell ref="D1014:D1024"/>
    <mergeCell ref="C138:C146"/>
    <mergeCell ref="C925:C933"/>
    <mergeCell ref="D504:D514"/>
    <mergeCell ref="C1027:C1035"/>
    <mergeCell ref="D736:D742"/>
    <mergeCell ref="C692:C695"/>
    <mergeCell ref="C798:C800"/>
    <mergeCell ref="C845:C848"/>
    <mergeCell ref="D976:D984"/>
    <mergeCell ref="D1002:D1004"/>
    <mergeCell ref="D73:D79"/>
    <mergeCell ref="D594:D596"/>
    <mergeCell ref="C80:C83"/>
    <mergeCell ref="C699:C707"/>
    <mergeCell ref="D313:D321"/>
    <mergeCell ref="D466:D474"/>
    <mergeCell ref="C118:C123"/>
    <mergeCell ref="D393:D401"/>
    <mergeCell ref="C597:C605"/>
    <mergeCell ref="D237:D239"/>
    <mergeCell ref="C189:C197"/>
    <mergeCell ref="A1:M1"/>
    <mergeCell ref="C934:C939"/>
    <mergeCell ref="D874:D882"/>
    <mergeCell ref="C34:C42"/>
    <mergeCell ref="C832:C837"/>
    <mergeCell ref="C781:C786"/>
    <mergeCell ref="D947:D950"/>
    <mergeCell ref="D985:D990"/>
    <mergeCell ref="D543:D545"/>
    <mergeCell ref="C169:C174"/>
    <mergeCell ref="C20:C26"/>
    <mergeCell ref="C568:C576"/>
    <mergeCell ref="D373:D378"/>
    <mergeCell ref="C606:C616"/>
    <mergeCell ref="C67:C72"/>
    <mergeCell ref="C58:C66"/>
    <mergeCell ref="D364:D372"/>
    <mergeCell ref="C838:C844"/>
    <mergeCell ref="C5:C13"/>
    <mergeCell ref="C31:C33"/>
    <mergeCell ref="C175:C181"/>
    <mergeCell ref="C1014:C1024"/>
    <mergeCell ref="C696:C698"/>
    <mergeCell ref="D692:D695"/>
    <mergeCell ref="D823:D831"/>
    <mergeCell ref="C402:C412"/>
    <mergeCell ref="C233:C236"/>
    <mergeCell ref="D96:D106"/>
    <mergeCell ref="D67:D72"/>
    <mergeCell ref="D291:D299"/>
    <mergeCell ref="C976:C984"/>
    <mergeCell ref="C1002:C1004"/>
    <mergeCell ref="D998:D1001"/>
    <mergeCell ref="D249:D259"/>
    <mergeCell ref="C747:C749"/>
    <mergeCell ref="D925:D933"/>
    <mergeCell ref="D951:D953"/>
    <mergeCell ref="D430:D436"/>
    <mergeCell ref="D1005:D1013"/>
    <mergeCell ref="C539:C542"/>
    <mergeCell ref="D271:D276"/>
    <mergeCell ref="D415:D423"/>
    <mergeCell ref="D657:D667"/>
    <mergeCell ref="C284:C287"/>
    <mergeCell ref="C466:C474"/>
    <mergeCell ref="D342:D350"/>
    <mergeCell ref="C546:C554"/>
    <mergeCell ref="D441:D443"/>
    <mergeCell ref="C322:C327"/>
    <mergeCell ref="D300:D310"/>
    <mergeCell ref="D488:D491"/>
    <mergeCell ref="D80:D83"/>
    <mergeCell ref="D147:D157"/>
    <mergeCell ref="C1053:C1055"/>
    <mergeCell ref="D883:D888"/>
    <mergeCell ref="D1049:D1052"/>
    <mergeCell ref="D934:D939"/>
    <mergeCell ref="C517:C525"/>
    <mergeCell ref="D492:D494"/>
    <mergeCell ref="D351:D361"/>
    <mergeCell ref="D211:D219"/>
    <mergeCell ref="C27:C30"/>
    <mergeCell ref="D5:D13"/>
    <mergeCell ref="D43:D53"/>
    <mergeCell ref="C759:C769"/>
    <mergeCell ref="C912:C922"/>
    <mergeCell ref="D903:D911"/>
    <mergeCell ref="C991:C997"/>
    <mergeCell ref="D772:D780"/>
    <mergeCell ref="C182:C185"/>
    <mergeCell ref="C249:C259"/>
    <mergeCell ref="D240:D248"/>
    <mergeCell ref="D810:D820"/>
    <mergeCell ref="C481:C487"/>
    <mergeCell ref="D889:D895"/>
    <mergeCell ref="D1042:D1048"/>
    <mergeCell ref="D262:D270"/>
    <mergeCell ref="C998:C1001"/>
    <mergeCell ref="D288:D290"/>
    <mergeCell ref="D379:D385"/>
    <mergeCell ref="C896:C899"/>
    <mergeCell ref="C87:C95"/>
    <mergeCell ref="D335:D338"/>
    <mergeCell ref="D532:D538"/>
    <mergeCell ref="C488:C491"/>
    <mergeCell ref="D900:D902"/>
    <mergeCell ref="D912:D922"/>
    <mergeCell ref="D954:D962"/>
    <mergeCell ref="D322:D327"/>
    <mergeCell ref="C73:C79"/>
    <mergeCell ref="D390:D392"/>
    <mergeCell ref="D437:D440"/>
    <mergeCell ref="D109:D117"/>
    <mergeCell ref="C495:C503"/>
    <mergeCell ref="D539:D542"/>
    <mergeCell ref="C648:C656"/>
    <mergeCell ref="D475:D480"/>
    <mergeCell ref="C590:C593"/>
    <mergeCell ref="D1036:D1041"/>
  </mergeCells>
  <conditionalFormatting sqref="G122">
    <cfRule type="cellIs" priority="114" operator="equal" dxfId="0" stopIfTrue="1">
      <formula>"Not test"</formula>
    </cfRule>
    <cfRule type="cellIs" priority="113" operator="equal" dxfId="1" stopIfTrue="1">
      <formula>"待确认"</formula>
    </cfRule>
  </conditionalFormatting>
  <conditionalFormatting sqref="G123">
    <cfRule type="cellIs" priority="112" operator="equal" dxfId="0" stopIfTrue="1">
      <formula>"Not test"</formula>
    </cfRule>
    <cfRule type="cellIs" priority="111" operator="equal" dxfId="1" stopIfTrue="1">
      <formula>"待确认"</formula>
    </cfRule>
  </conditionalFormatting>
  <conditionalFormatting sqref="G173">
    <cfRule type="cellIs" priority="108" operator="equal" dxfId="0" stopIfTrue="1">
      <formula>"Not test"</formula>
    </cfRule>
    <cfRule type="cellIs" priority="107" operator="equal" dxfId="1" stopIfTrue="1">
      <formula>"待确认"</formula>
    </cfRule>
  </conditionalFormatting>
  <conditionalFormatting sqref="G174">
    <cfRule type="cellIs" priority="106" operator="equal" dxfId="0" stopIfTrue="1">
      <formula>"Not test"</formula>
    </cfRule>
    <cfRule type="cellIs" priority="105" operator="equal" dxfId="1" stopIfTrue="1">
      <formula>"待确认"</formula>
    </cfRule>
  </conditionalFormatting>
  <conditionalFormatting sqref="G224">
    <cfRule type="cellIs" priority="102" operator="equal" dxfId="0" stopIfTrue="1">
      <formula>"Not test"</formula>
    </cfRule>
    <cfRule type="cellIs" priority="101" operator="equal" dxfId="1" stopIfTrue="1">
      <formula>"待确认"</formula>
    </cfRule>
  </conditionalFormatting>
  <conditionalFormatting sqref="G225">
    <cfRule type="cellIs" priority="100" operator="equal" dxfId="0" stopIfTrue="1">
      <formula>"Not test"</formula>
    </cfRule>
    <cfRule type="cellIs" priority="99" operator="equal" dxfId="1" stopIfTrue="1">
      <formula>"待确认"</formula>
    </cfRule>
  </conditionalFormatting>
  <conditionalFormatting sqref="G275">
    <cfRule type="cellIs" priority="96" operator="equal" dxfId="0" stopIfTrue="1">
      <formula>"Not test"</formula>
    </cfRule>
    <cfRule type="cellIs" priority="95" operator="equal" dxfId="1" stopIfTrue="1">
      <formula>"待确认"</formula>
    </cfRule>
  </conditionalFormatting>
  <conditionalFormatting sqref="G276">
    <cfRule type="cellIs" priority="94" operator="equal" dxfId="0" stopIfTrue="1">
      <formula>"Not test"</formula>
    </cfRule>
    <cfRule type="cellIs" priority="93" operator="equal" dxfId="1" stopIfTrue="1">
      <formula>"待确认"</formula>
    </cfRule>
  </conditionalFormatting>
  <conditionalFormatting sqref="G326">
    <cfRule type="cellIs" priority="90" operator="equal" dxfId="0" stopIfTrue="1">
      <formula>"Not test"</formula>
    </cfRule>
    <cfRule type="cellIs" priority="89" operator="equal" dxfId="1" stopIfTrue="1">
      <formula>"待确认"</formula>
    </cfRule>
  </conditionalFormatting>
  <conditionalFormatting sqref="G327">
    <cfRule type="cellIs" priority="88" operator="equal" dxfId="0" stopIfTrue="1">
      <formula>"Not test"</formula>
    </cfRule>
    <cfRule type="cellIs" priority="87" operator="equal" dxfId="1" stopIfTrue="1">
      <formula>"待确认"</formula>
    </cfRule>
  </conditionalFormatting>
  <conditionalFormatting sqref="G377">
    <cfRule type="cellIs" priority="84" operator="equal" dxfId="0" stopIfTrue="1">
      <formula>"Not test"</formula>
    </cfRule>
    <cfRule type="cellIs" priority="83" operator="equal" dxfId="1" stopIfTrue="1">
      <formula>"待确认"</formula>
    </cfRule>
  </conditionalFormatting>
  <conditionalFormatting sqref="G378">
    <cfRule type="cellIs" priority="82" operator="equal" dxfId="0" stopIfTrue="1">
      <formula>"Not test"</formula>
    </cfRule>
    <cfRule type="cellIs" priority="81" operator="equal" dxfId="1" stopIfTrue="1">
      <formula>"待确认"</formula>
    </cfRule>
  </conditionalFormatting>
  <conditionalFormatting sqref="G428">
    <cfRule type="cellIs" priority="78" operator="equal" dxfId="0" stopIfTrue="1">
      <formula>"Not test"</formula>
    </cfRule>
    <cfRule type="cellIs" priority="77" operator="equal" dxfId="1" stopIfTrue="1">
      <formula>"待确认"</formula>
    </cfRule>
  </conditionalFormatting>
  <conditionalFormatting sqref="G429">
    <cfRule type="cellIs" priority="76" operator="equal" dxfId="0" stopIfTrue="1">
      <formula>"Not test"</formula>
    </cfRule>
    <cfRule type="cellIs" priority="75" operator="equal" dxfId="1" stopIfTrue="1">
      <formula>"待确认"</formula>
    </cfRule>
  </conditionalFormatting>
  <conditionalFormatting sqref="G479">
    <cfRule type="cellIs" priority="72" operator="equal" dxfId="0" stopIfTrue="1">
      <formula>"Not test"</formula>
    </cfRule>
    <cfRule type="cellIs" priority="71" operator="equal" dxfId="1" stopIfTrue="1">
      <formula>"待确认"</formula>
    </cfRule>
  </conditionalFormatting>
  <conditionalFormatting sqref="G480">
    <cfRule type="cellIs" priority="70" operator="equal" dxfId="0" stopIfTrue="1">
      <formula>"Not test"</formula>
    </cfRule>
    <cfRule type="cellIs" priority="69" operator="equal" dxfId="1" stopIfTrue="1">
      <formula>"待确认"</formula>
    </cfRule>
  </conditionalFormatting>
  <conditionalFormatting sqref="G530">
    <cfRule type="cellIs" priority="66" operator="equal" dxfId="0" stopIfTrue="1">
      <formula>"Not test"</formula>
    </cfRule>
    <cfRule type="cellIs" priority="65" operator="equal" dxfId="1" stopIfTrue="1">
      <formula>"待确认"</formula>
    </cfRule>
  </conditionalFormatting>
  <conditionalFormatting sqref="G531">
    <cfRule type="cellIs" priority="64" operator="equal" dxfId="0" stopIfTrue="1">
      <formula>"Not test"</formula>
    </cfRule>
    <cfRule type="cellIs" priority="63" operator="equal" dxfId="1" stopIfTrue="1">
      <formula>"待确认"</formula>
    </cfRule>
  </conditionalFormatting>
  <conditionalFormatting sqref="G532">
    <cfRule type="cellIs" priority="62" operator="equal" dxfId="0" stopIfTrue="1">
      <formula>"Not test"</formula>
    </cfRule>
    <cfRule type="cellIs" priority="61" operator="equal" dxfId="1" stopIfTrue="1">
      <formula>"待确认"</formula>
    </cfRule>
  </conditionalFormatting>
  <conditionalFormatting sqref="G581">
    <cfRule type="cellIs" priority="58" operator="equal" dxfId="0" stopIfTrue="1">
      <formula>"Not test"</formula>
    </cfRule>
    <cfRule type="cellIs" priority="57" operator="equal" dxfId="1" stopIfTrue="1">
      <formula>"待确认"</formula>
    </cfRule>
  </conditionalFormatting>
  <conditionalFormatting sqref="G582">
    <cfRule type="cellIs" priority="56" operator="equal" dxfId="0" stopIfTrue="1">
      <formula>"Not test"</formula>
    </cfRule>
    <cfRule type="cellIs" priority="55" operator="equal" dxfId="1" stopIfTrue="1">
      <formula>"待确认"</formula>
    </cfRule>
  </conditionalFormatting>
  <conditionalFormatting sqref="G632">
    <cfRule type="cellIs" priority="50" operator="equal" dxfId="0" stopIfTrue="1">
      <formula>"Not test"</formula>
    </cfRule>
    <cfRule type="cellIs" priority="49" operator="equal" dxfId="1" stopIfTrue="1">
      <formula>"待确认"</formula>
    </cfRule>
  </conditionalFormatting>
  <conditionalFormatting sqref="G633">
    <cfRule type="cellIs" priority="48" operator="equal" dxfId="0" stopIfTrue="1">
      <formula>"Not test"</formula>
    </cfRule>
    <cfRule type="cellIs" priority="47" operator="equal" dxfId="1" stopIfTrue="1">
      <formula>"待确认"</formula>
    </cfRule>
  </conditionalFormatting>
  <conditionalFormatting sqref="G683">
    <cfRule type="cellIs" priority="44" operator="equal" dxfId="0" stopIfTrue="1">
      <formula>"Not test"</formula>
    </cfRule>
    <cfRule type="cellIs" priority="43" operator="equal" dxfId="1" stopIfTrue="1">
      <formula>"待确认"</formula>
    </cfRule>
  </conditionalFormatting>
  <conditionalFormatting sqref="G684">
    <cfRule type="cellIs" priority="42" operator="equal" dxfId="0" stopIfTrue="1">
      <formula>"Not test"</formula>
    </cfRule>
    <cfRule type="cellIs" priority="41" operator="equal" dxfId="1" stopIfTrue="1">
      <formula>"待确认"</formula>
    </cfRule>
  </conditionalFormatting>
  <conditionalFormatting sqref="G734">
    <cfRule type="cellIs" priority="38" operator="equal" dxfId="0" stopIfTrue="1">
      <formula>"Not test"</formula>
    </cfRule>
    <cfRule type="cellIs" priority="37" operator="equal" dxfId="1" stopIfTrue="1">
      <formula>"待确认"</formula>
    </cfRule>
  </conditionalFormatting>
  <conditionalFormatting sqref="G735">
    <cfRule type="cellIs" priority="36" operator="equal" dxfId="0" stopIfTrue="1">
      <formula>"Not test"</formula>
    </cfRule>
    <cfRule type="cellIs" priority="35" operator="equal" dxfId="1" stopIfTrue="1">
      <formula>"待确认"</formula>
    </cfRule>
  </conditionalFormatting>
  <conditionalFormatting sqref="G785">
    <cfRule type="cellIs" priority="32" operator="equal" dxfId="0" stopIfTrue="1">
      <formula>"Not test"</formula>
    </cfRule>
    <cfRule type="cellIs" priority="31" operator="equal" dxfId="1" stopIfTrue="1">
      <formula>"待确认"</formula>
    </cfRule>
  </conditionalFormatting>
  <conditionalFormatting sqref="G786">
    <cfRule type="cellIs" priority="30" operator="equal" dxfId="0" stopIfTrue="1">
      <formula>"Not test"</formula>
    </cfRule>
    <cfRule type="cellIs" priority="29" operator="equal" dxfId="1" stopIfTrue="1">
      <formula>"待确认"</formula>
    </cfRule>
  </conditionalFormatting>
  <conditionalFormatting sqref="G836">
    <cfRule type="cellIs" priority="26" operator="equal" dxfId="0" stopIfTrue="1">
      <formula>"Not test"</formula>
    </cfRule>
    <cfRule type="cellIs" priority="25" operator="equal" dxfId="1" stopIfTrue="1">
      <formula>"待确认"</formula>
    </cfRule>
  </conditionalFormatting>
  <conditionalFormatting sqref="G837">
    <cfRule type="cellIs" priority="24" operator="equal" dxfId="0" stopIfTrue="1">
      <formula>"Not test"</formula>
    </cfRule>
    <cfRule type="cellIs" priority="23" operator="equal" dxfId="1" stopIfTrue="1">
      <formula>"待确认"</formula>
    </cfRule>
  </conditionalFormatting>
  <conditionalFormatting sqref="G887">
    <cfRule type="cellIs" priority="20" operator="equal" dxfId="0" stopIfTrue="1">
      <formula>"Not test"</formula>
    </cfRule>
    <cfRule type="cellIs" priority="19" operator="equal" dxfId="1" stopIfTrue="1">
      <formula>"待确认"</formula>
    </cfRule>
  </conditionalFormatting>
  <conditionalFormatting sqref="G888">
    <cfRule type="cellIs" priority="18" operator="equal" dxfId="0" stopIfTrue="1">
      <formula>"Not test"</formula>
    </cfRule>
    <cfRule type="cellIs" priority="17" operator="equal" dxfId="1" stopIfTrue="1">
      <formula>"待确认"</formula>
    </cfRule>
  </conditionalFormatting>
  <conditionalFormatting sqref="G939">
    <cfRule type="cellIs" priority="12" operator="equal" dxfId="0" stopIfTrue="1">
      <formula>"Not test"</formula>
    </cfRule>
    <cfRule type="cellIs" priority="11" operator="equal" dxfId="1" stopIfTrue="1">
      <formula>"待确认"</formula>
    </cfRule>
  </conditionalFormatting>
  <conditionalFormatting sqref="G940">
    <cfRule type="cellIs" priority="6" operator="equal" dxfId="0" stopIfTrue="1">
      <formula>"Not test"</formula>
    </cfRule>
    <cfRule type="cellIs" priority="5" operator="equal" dxfId="1" stopIfTrue="1">
      <formula>"待确认"</formula>
    </cfRule>
  </conditionalFormatting>
  <conditionalFormatting sqref="G990">
    <cfRule type="cellIs" priority="8" operator="equal" dxfId="0" stopIfTrue="1">
      <formula>"Not test"</formula>
    </cfRule>
    <cfRule type="cellIs" priority="7" operator="equal" dxfId="1" stopIfTrue="1">
      <formula>"待确认"</formula>
    </cfRule>
  </conditionalFormatting>
  <conditionalFormatting sqref="G1041">
    <cfRule type="cellIs" priority="2" operator="equal" dxfId="0" stopIfTrue="1">
      <formula>"Not test"</formula>
    </cfRule>
    <cfRule type="cellIs" priority="1" operator="equal" dxfId="1" stopIfTrue="1">
      <formula>"待确认"</formula>
    </cfRule>
  </conditionalFormatting>
  <conditionalFormatting sqref="G14 G16:G24">
    <cfRule type="cellIs" priority="128" operator="equal" dxfId="0" stopIfTrue="1">
      <formula>"Not test"</formula>
    </cfRule>
    <cfRule type="cellIs" priority="123" operator="equal" dxfId="1" stopIfTrue="1">
      <formula>"待确认"</formula>
    </cfRule>
  </conditionalFormatting>
  <conditionalFormatting sqref="G69:G70 G73:G77">
    <cfRule type="cellIs" priority="122" operator="equal" dxfId="0" stopIfTrue="1">
      <formula>"Not test"</formula>
    </cfRule>
    <cfRule type="cellIs" priority="117" operator="equal" dxfId="1" stopIfTrue="1">
      <formula>"待确认"</formula>
    </cfRule>
  </conditionalFormatting>
  <conditionalFormatting sqref="G120:G121 G124:G128">
    <cfRule type="cellIs" priority="116" operator="equal" dxfId="0" stopIfTrue="1">
      <formula>"Not test"</formula>
    </cfRule>
    <cfRule type="cellIs" priority="115" operator="equal" dxfId="1" stopIfTrue="1">
      <formula>"待确认"</formula>
    </cfRule>
  </conditionalFormatting>
  <conditionalFormatting sqref="G171:G172 G175:G179">
    <cfRule type="cellIs" priority="110" operator="equal" dxfId="0" stopIfTrue="1">
      <formula>"Not test"</formula>
    </cfRule>
    <cfRule type="cellIs" priority="109" operator="equal" dxfId="1" stopIfTrue="1">
      <formula>"待确认"</formula>
    </cfRule>
  </conditionalFormatting>
  <conditionalFormatting sqref="G222:G223 G226:G230">
    <cfRule type="cellIs" priority="104" operator="equal" dxfId="0" stopIfTrue="1">
      <formula>"Not test"</formula>
    </cfRule>
    <cfRule type="cellIs" priority="103" operator="equal" dxfId="1" stopIfTrue="1">
      <formula>"待确认"</formula>
    </cfRule>
  </conditionalFormatting>
  <conditionalFormatting sqref="G273:G274 G278:G281">
    <cfRule type="cellIs" priority="98" operator="equal" dxfId="0" stopIfTrue="1">
      <formula>"Not test"</formula>
    </cfRule>
    <cfRule type="cellIs" priority="97" operator="equal" dxfId="1" stopIfTrue="1">
      <formula>"待确认"</formula>
    </cfRule>
  </conditionalFormatting>
  <conditionalFormatting sqref="G324:G325 G329:G332">
    <cfRule type="cellIs" priority="92" operator="equal" dxfId="0" stopIfTrue="1">
      <formula>"Not test"</formula>
    </cfRule>
    <cfRule type="cellIs" priority="91" operator="equal" dxfId="1" stopIfTrue="1">
      <formula>"待确认"</formula>
    </cfRule>
  </conditionalFormatting>
  <conditionalFormatting sqref="G375:G376 G380:G383">
    <cfRule type="cellIs" priority="86" operator="equal" dxfId="0" stopIfTrue="1">
      <formula>"Not test"</formula>
    </cfRule>
    <cfRule type="cellIs" priority="85" operator="equal" dxfId="1" stopIfTrue="1">
      <formula>"待确认"</formula>
    </cfRule>
  </conditionalFormatting>
  <conditionalFormatting sqref="G426:G427 G431:G434">
    <cfRule type="cellIs" priority="80" operator="equal" dxfId="0" stopIfTrue="1">
      <formula>"Not test"</formula>
    </cfRule>
    <cfRule type="cellIs" priority="79" operator="equal" dxfId="1" stopIfTrue="1">
      <formula>"待确认"</formula>
    </cfRule>
  </conditionalFormatting>
  <conditionalFormatting sqref="G477:G478 G482:G485">
    <cfRule type="cellIs" priority="74" operator="equal" dxfId="0" stopIfTrue="1">
      <formula>"Not test"</formula>
    </cfRule>
    <cfRule type="cellIs" priority="73" operator="equal" dxfId="1" stopIfTrue="1">
      <formula>"待确认"</formula>
    </cfRule>
  </conditionalFormatting>
  <conditionalFormatting sqref="G528:G529 G533:G536">
    <cfRule type="cellIs" priority="68" operator="equal" dxfId="0" stopIfTrue="1">
      <formula>"Not test"</formula>
    </cfRule>
    <cfRule type="cellIs" priority="67" operator="equal" dxfId="1" stopIfTrue="1">
      <formula>"待确认"</formula>
    </cfRule>
  </conditionalFormatting>
  <conditionalFormatting sqref="G579:G580 G584:G587">
    <cfRule type="cellIs" priority="60" operator="equal" dxfId="0" stopIfTrue="1">
      <formula>"Not test"</formula>
    </cfRule>
    <cfRule type="cellIs" priority="59" operator="equal" dxfId="1" stopIfTrue="1">
      <formula>"待确认"</formula>
    </cfRule>
  </conditionalFormatting>
  <conditionalFormatting sqref="G630:G631 G635:G638">
    <cfRule type="cellIs" priority="52" operator="equal" dxfId="0" stopIfTrue="1">
      <formula>"Not test"</formula>
    </cfRule>
    <cfRule type="cellIs" priority="51" operator="equal" dxfId="1" stopIfTrue="1">
      <formula>"待确认"</formula>
    </cfRule>
  </conditionalFormatting>
  <conditionalFormatting sqref="G681:G682 G686:G689">
    <cfRule type="cellIs" priority="46" operator="equal" dxfId="0" stopIfTrue="1">
      <formula>"Not test"</formula>
    </cfRule>
    <cfRule type="cellIs" priority="45" operator="equal" dxfId="1" stopIfTrue="1">
      <formula>"待确认"</formula>
    </cfRule>
  </conditionalFormatting>
  <conditionalFormatting sqref="G732:G733 G737:G740">
    <cfRule type="cellIs" priority="40" operator="equal" dxfId="0" stopIfTrue="1">
      <formula>"Not test"</formula>
    </cfRule>
    <cfRule type="cellIs" priority="39" operator="equal" dxfId="1" stopIfTrue="1">
      <formula>"待确认"</formula>
    </cfRule>
  </conditionalFormatting>
  <conditionalFormatting sqref="G783:G784 G788:G791">
    <cfRule type="cellIs" priority="34" operator="equal" dxfId="0" stopIfTrue="1">
      <formula>"Not test"</formula>
    </cfRule>
    <cfRule type="cellIs" priority="33" operator="equal" dxfId="1" stopIfTrue="1">
      <formula>"待确认"</formula>
    </cfRule>
  </conditionalFormatting>
  <conditionalFormatting sqref="G834:G835 G839:G842">
    <cfRule type="cellIs" priority="28" operator="equal" dxfId="0" stopIfTrue="1">
      <formula>"Not test"</formula>
    </cfRule>
    <cfRule type="cellIs" priority="27" operator="equal" dxfId="1" stopIfTrue="1">
      <formula>"待确认"</formula>
    </cfRule>
  </conditionalFormatting>
  <conditionalFormatting sqref="G885:G886 G890:G893">
    <cfRule type="cellIs" priority="22" operator="equal" dxfId="0" stopIfTrue="1">
      <formula>"Not test"</formula>
    </cfRule>
    <cfRule type="cellIs" priority="21" operator="equal" dxfId="1" stopIfTrue="1">
      <formula>"待确认"</formula>
    </cfRule>
  </conditionalFormatting>
  <conditionalFormatting sqref="G936:G937 G941:G944">
    <cfRule type="cellIs" priority="16" operator="equal" dxfId="0" stopIfTrue="1">
      <formula>"Not test"</formula>
    </cfRule>
    <cfRule type="cellIs" priority="15" operator="equal" dxfId="1" stopIfTrue="1">
      <formula>"待确认"</formula>
    </cfRule>
  </conditionalFormatting>
  <conditionalFormatting sqref="G987:G988 G992:G995">
    <cfRule type="cellIs" priority="10" operator="equal" dxfId="0" stopIfTrue="1">
      <formula>"Not test"</formula>
    </cfRule>
    <cfRule type="cellIs" priority="9" operator="equal" dxfId="1" stopIfTrue="1">
      <formula>"待确认"</formula>
    </cfRule>
  </conditionalFormatting>
  <conditionalFormatting sqref="G1038:G1039 G1043:G1046">
    <cfRule type="cellIs" priority="4" operator="equal" dxfId="0" stopIfTrue="1">
      <formula>"Not test"</formula>
    </cfRule>
    <cfRule type="cellIs" priority="3" operator="equal" dxfId="1" stopIfTrue="1">
      <formula>"待确认"</formula>
    </cfRule>
  </conditionalFormatting>
  <dataValidations count="7">
    <dataValidation sqref="G14" showDropDown="0" showInputMessage="1" showErrorMessage="1" allowBlank="1" type="list">
      <formula1>"NG,N/A,Pass,Not test,Archived,待确认"</formula1>
    </dataValidation>
    <dataValidation sqref="G16 G69 G120 G171 G222 G273 G324 G375 G426 G477 G528 G579 G630 G681 G732 G783 G834 G885 G936 G987 G1038" showDropDown="0" showInputMessage="1" showErrorMessage="1" allowBlank="1" type="list">
      <formula1>"NG,N/A,Pass,Not test,Archived,待确认,加速踏板解析
&amp;
扭矩计算 在同一个任务周期中运行，运行时间，错误，将采集的加速踏板数据和扭矩计算的数据不能体现驾驶员的实时请求，造成非预期的加速或者减速"</formula1>
    </dataValidation>
    <dataValidation sqref="G17 G70 G121:G123 G172:G174 G223:G225 G274:G276 G325:G327 G376:G378 G427:G429 G478:G480 G529:G531 G580:G582 G631:G633 G682:G684 G733:G735 G784:G786 G835:G837 G886:G888 G937 G939:G940 G988 G990 G1039 G1041" showDropDown="0" showInputMessage="1" showErrorMessage="1" allowBlank="1" type="list">
      <formula1>"NG,N/A,Pass,Not test,Archived,待确认,task 错误
[1][stuck/ more/less]，造成充电命令一直发出
[充电过充]/ 
[2]充电命令发送过早或者过晚"</formula1>
    </dataValidation>
    <dataValidation sqref="G18" showDropDown="0" showInputMessage="1" showErrorMessage="1" allowBlank="1" type="list">
      <formula1>"NG,N/A,Pass,Not test,Archived,待确认,加速踏板解析
&amp;
扭矩计算  在同一个RAM 中运行，ram 错误，将错误的计算扭矩"</formula1>
    </dataValidation>
    <dataValidation sqref="G22 G75 G126 G177 G228 G279 G330 G381 G432 G483 G534 G585 G636 G687 G738 G789 G840 G891 G942 G993 G1044" showDropDown="0" showInputMessage="1" showErrorMessage="1" allowBlank="1" type="list">
      <formula1>"NG,N/A,Pass,Not test,Archived,待确认,加速踏板解析
&amp;
扭矩计算 当硬件过压时，加速踏板解析的值偏大，扭矩计算过大，导致非预期的加速"</formula1>
    </dataValidation>
    <dataValidation sqref="G23 G76 G127 G178 G229 G280 G331 G382 G433 G484 G535 G586 G637 G688 G739 G790 G841 G892 G943 G994 G1045" showDropDown="0" showInputMessage="1" showErrorMessage="1" allowBlank="1" type="list">
      <formula1>"NG,N/A,Pass,Not test,Archived,待确认,加速踏板解析
&amp;
扭矩计算 当执行时间分配错误时，加速踏板解析的值不正确，扭矩计算的数据不能体现驾驶员的实时请求，造成非预期的加速或者减速"</formula1>
    </dataValidation>
    <dataValidation sqref="G19:G21 G24 G73:G74 G77 G124:G125 G128 G175:G176 G179 G226:G227 G230 G278 G281 G329 G332 G380 G383 G431 G434 G482 G485 G532:G533 G536 G584 G587 G635 G638 G686 G689 G737 G740 G788 G791 G839 G842 G890 G893 G941 G944 G992 G995 G1043 G1046" showDropDown="0" showInputMessage="1" showErrorMessage="1" allowBlank="1" type="list">
      <formula1>"NG,N/A,Pass,Not test,Archived,待确认,Not Applicable"</formula1>
    </dataValidation>
  </dataValidations>
  <pageMargins left="0.7086614173228351" right="0.47244094488189" top="0.590551181102362" bottom="0.590551181102362" header="0.31496062992126" footer="0.31496062992126"/>
  <pageSetup orientation="landscape" paperSize="9" scale="36"/>
  <headerFooter>
    <oddHeader>&amp;L&amp;G</oddHeader>
    <oddFooter>&amp;C第 &amp;P 页，共 &amp;N 页</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B1:R1"/>
  <sheetViews>
    <sheetView showGridLines="0" zoomScale="85" zoomScaleNormal="85" workbookViewId="0">
      <selection activeCell="I29" sqref="I29"/>
    </sheetView>
  </sheetViews>
  <sheetFormatPr baseColWidth="8" defaultColWidth="9" defaultRowHeight="14"/>
  <cols>
    <col width="1.5" customWidth="1" min="1" max="1"/>
    <col width="14.9166666666667" customWidth="1" min="9" max="9"/>
    <col width="2.83333333333333" customWidth="1" min="10" max="10"/>
  </cols>
  <sheetData>
    <row r="1">
      <c r="B1" s="20" t="inlineStr">
        <is>
          <t>Table E.1 shows examples for the selection of guide words applied to the design in Figure E.4.</t>
        </is>
      </c>
      <c r="K1" s="21" t="inlineStr">
        <is>
          <t>An example for a guide word of the signals A1 to An is shown in Table E.2</t>
        </is>
      </c>
    </row>
  </sheetData>
  <mergeCells count="2">
    <mergeCell ref="B1:I1"/>
    <mergeCell ref="K1:R1"/>
  </mergeCells>
  <pageMargins left="0.7086614173228351" right="0.47244094488189" top="0.590551181102362" bottom="0.590551181102362" header="0.31496062992126" footer="0.31496062992126"/>
  <pageSetup orientation="portrait" paperSize="9"/>
  <headerFooter>
    <oddHeader>&amp;L&amp;G</oddHeader>
    <oddFooter>&amp;C第 &amp;P 页，共 &amp;N 页</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E17"/>
  <sheetViews>
    <sheetView workbookViewId="0">
      <selection activeCell="B15" sqref="B15"/>
    </sheetView>
  </sheetViews>
  <sheetFormatPr baseColWidth="8" defaultColWidth="8.83333333333333" defaultRowHeight="14" outlineLevelRow="6"/>
  <cols>
    <col width="12" customWidth="1" min="1" max="1"/>
    <col width="16" customWidth="1" min="2" max="2"/>
    <col width="65" customWidth="1" min="3" max="3"/>
    <col width="18" customWidth="1" min="4" max="4"/>
    <col width="12" customWidth="1" min="5" max="5"/>
  </cols>
  <sheetData>
    <row r="1" ht="42" customHeight="1">
      <c r="A1" s="188" t="inlineStr">
        <is>
          <t>功能</t>
        </is>
      </c>
      <c r="B1" s="188" t="inlineStr">
        <is>
          <t>SM ID</t>
        </is>
      </c>
      <c r="C1" s="188" t="inlineStr">
        <is>
          <t>安全机制</t>
        </is>
      </c>
      <c r="D1" s="189" t="inlineStr">
        <is>
          <t>Traceability</t>
        </is>
      </c>
      <c r="E1" s="189" t="inlineStr">
        <is>
          <t>诊断覆盖率</t>
        </is>
      </c>
    </row>
    <row r="2" ht="51" customHeight="1">
      <c r="A2" s="190" t="inlineStr">
        <is>
          <t>制动转向</t>
        </is>
      </c>
      <c r="B2" s="190" t="inlineStr">
        <is>
          <t>RL_SM_01</t>
        </is>
      </c>
      <c r="C2" s="190" t="inlineStr">
        <is>
          <t>电源监控器检测违反稳定电源的错误，以确保整个系统的供电，包括过压和欠压保护。此SM负责处理和诊断电源问题。</t>
        </is>
      </c>
      <c r="D2" s="191" t="inlineStr">
        <is>
          <t>制动转向</t>
        </is>
      </c>
      <c r="E2" s="191" t="inlineStr">
        <is>
          <t>60%</t>
        </is>
      </c>
    </row>
    <row r="3" ht="43" customHeight="1">
      <c r="A3" s="185" t="n"/>
      <c r="B3" s="190" t="inlineStr">
        <is>
          <t>RL_SM_02</t>
        </is>
      </c>
      <c r="C3" s="190" t="inlineStr">
        <is>
          <t>对来电信号进行检测，判断转向灯、制动灯是否满足开启要求；当来电信号错误，功能灯不响应，转向灯、制动灯各自进入安全状态（转向反馈、制动由车身检查）。</t>
        </is>
      </c>
      <c r="D3" s="191" t="inlineStr">
        <is>
          <t>制动转向</t>
        </is>
      </c>
      <c r="E3" s="191" t="inlineStr">
        <is>
          <t>60%</t>
        </is>
      </c>
    </row>
    <row r="4" ht="30" customHeight="1">
      <c r="A4" s="185" t="n"/>
      <c r="B4" s="190" t="inlineStr">
        <is>
          <t>RL_SM_03</t>
        </is>
      </c>
      <c r="C4" s="192" t="inlineStr">
        <is>
          <t>软件使用外部独立看门狗，当MCU软件故障可通过看门狗进行复位。</t>
        </is>
      </c>
      <c r="D4" s="191" t="inlineStr">
        <is>
          <t>制动转向</t>
        </is>
      </c>
      <c r="E4" s="191" t="inlineStr">
        <is>
          <t>90%</t>
        </is>
      </c>
    </row>
    <row r="5" ht="39" customHeight="1">
      <c r="A5" s="185" t="n"/>
      <c r="B5" s="190" t="inlineStr">
        <is>
          <t>RL_SM_04</t>
        </is>
      </c>
      <c r="C5" s="192" t="inlineStr">
        <is>
          <t>灯具内部做故障判断逻辑，当判断故障后进行反馈，反馈机制应遵循奇瑞标准。</t>
        </is>
      </c>
      <c r="D5" s="191" t="inlineStr">
        <is>
          <t>制动转向</t>
        </is>
      </c>
      <c r="E5" s="191" t="inlineStr">
        <is>
          <t>99%</t>
        </is>
      </c>
    </row>
    <row r="6" ht="44" customHeight="1">
      <c r="A6" s="185" t="n"/>
      <c r="B6" s="190" t="inlineStr">
        <is>
          <t>RL_SM_05</t>
        </is>
      </c>
      <c r="C6" s="192" t="inlineStr">
        <is>
          <t>当制动灯内部故障且故障无法反馈时，由车身进行电流检测以此判断制动灯故障状态。</t>
        </is>
      </c>
      <c r="D6" s="191" t="inlineStr">
        <is>
          <t>制动转向</t>
        </is>
      </c>
      <c r="E6" s="191" t="inlineStr">
        <is>
          <t>90%</t>
        </is>
      </c>
    </row>
    <row r="7" ht="45" customHeight="1">
      <c r="A7" s="185" t="n"/>
      <c r="B7" s="192" t="inlineStr">
        <is>
          <t>RL_SM_06</t>
        </is>
      </c>
      <c r="C7" s="192" t="inlineStr">
        <is>
          <t>制动灯采用N-1&gt;=1方案进行设计，当某一组LED驱动或LED故障，剩余制动灯可以继续点亮。</t>
        </is>
      </c>
      <c r="D7" s="191" t="inlineStr">
        <is>
          <t>制动转向</t>
        </is>
      </c>
      <c r="E7" s="191" t="inlineStr">
        <is>
          <t>99%</t>
        </is>
      </c>
    </row>
    <row r="8">
      <c r="A8" s="185" t="n"/>
      <c r="B8" s="191" t="inlineStr">
        <is>
          <t>RL_SM_07</t>
        </is>
      </c>
      <c r="C8" s="191" t="inlineStr">
        <is>
          <t>转向灯采用N-1=0方案进行设计，当某一组LED驱动或LED故障，剩余转向灯熄灭。</t>
        </is>
      </c>
      <c r="D8" s="191" t="inlineStr">
        <is>
          <t>制动转向</t>
        </is>
      </c>
      <c r="E8" s="191" t="inlineStr">
        <is>
          <t>99%</t>
        </is>
      </c>
    </row>
    <row r="9">
      <c r="A9" s="185" t="n"/>
      <c r="B9" s="191" t="inlineStr">
        <is>
          <t>RL_SM_08</t>
        </is>
      </c>
      <c r="C9" s="191" t="inlineStr">
        <is>
          <t>在检测电路设计时，应考虑检测输出电压是否会导致MCU故障，故应使用钳位二极管将电压抑制在稳定区间。</t>
        </is>
      </c>
      <c r="D9" s="191" t="inlineStr">
        <is>
          <t>制动转向</t>
        </is>
      </c>
      <c r="E9" s="191" t="inlineStr">
        <is>
          <t>99%</t>
        </is>
      </c>
    </row>
    <row r="10">
      <c r="A10" s="186" t="n"/>
      <c r="B10" s="191" t="inlineStr">
        <is>
          <t>RL_SM_09</t>
        </is>
      </c>
      <c r="C10" s="191" t="inlineStr">
        <is>
          <t>芯片硬件支持自检，并利用芯片特性设计外围电路。</t>
        </is>
      </c>
      <c r="D10" s="191" t="inlineStr">
        <is>
          <t>制动转向</t>
        </is>
      </c>
      <c r="E10" s="191" t="inlineStr">
        <is>
          <t>90%</t>
        </is>
      </c>
    </row>
    <row r="12">
      <c r="A12" t="inlineStr">
        <is>
          <t>SW DFA (软件)</t>
        </is>
      </c>
      <c r="B12" t="inlineStr">
        <is>
          <t>—</t>
        </is>
      </c>
      <c r="C12" t="inlineStr">
        <is>
          <t>以下为 SW DFA 分析中引用的软件安全机制</t>
        </is>
      </c>
    </row>
    <row r="13">
      <c r="B13" s="191" t="inlineStr">
        <is>
          <t>SW_DFA_SM_001</t>
        </is>
      </c>
      <c r="C13" s="191" t="inlineStr">
        <is>
          <t>支持硬线制动灯点亮</t>
        </is>
      </c>
      <c r="D13" s="191" t="inlineStr">
        <is>
          <t>SG1-硬线制动灯冗余</t>
        </is>
      </c>
      <c r="E13" s="191" t="inlineStr">
        <is>
          <t>—</t>
        </is>
      </c>
    </row>
    <row r="14">
      <c r="B14" s="191" t="inlineStr">
        <is>
          <t>SW_DFA_SM_002</t>
        </is>
      </c>
      <c r="C14" s="191" t="inlineStr">
        <is>
          <t>支持停振检测</t>
        </is>
      </c>
      <c r="D14" s="191" t="inlineStr">
        <is>
          <t>SG1/SG2/SG3-时钟停振检测</t>
        </is>
      </c>
      <c r="E14" s="191" t="inlineStr">
        <is>
          <t>—</t>
        </is>
      </c>
    </row>
    <row r="15">
      <c r="B15" s="191" t="inlineStr">
        <is>
          <t>SW_DFA_SM_003</t>
        </is>
      </c>
      <c r="C15" s="191" t="inlineStr">
        <is>
          <t>制动灯报文丢失200ms后点亮制动灯</t>
        </is>
      </c>
      <c r="D15" s="191" t="inlineStr">
        <is>
          <t>SG1-报文丢失200ms制动灯点亮</t>
        </is>
      </c>
      <c r="E15" s="191" t="inlineStr">
        <is>
          <t>—</t>
        </is>
      </c>
    </row>
    <row r="16">
      <c r="B16" s="191" t="inlineStr">
        <is>
          <t>SW_DFA_SM_004</t>
        </is>
      </c>
      <c r="C16" s="191" t="inlineStr">
        <is>
          <t>支持外部看门狗</t>
        </is>
      </c>
      <c r="D16" s="191" t="inlineStr">
        <is>
          <t>SG1/SG2/SG3-外部看门狗</t>
        </is>
      </c>
      <c r="E16" s="191" t="inlineStr">
        <is>
          <t>—</t>
        </is>
      </c>
    </row>
    <row r="17">
      <c r="B17" s="191" t="inlineStr">
        <is>
          <t>SW_DFA_SM_005</t>
        </is>
      </c>
      <c r="C17" s="191" t="inlineStr">
        <is>
          <t>连续10个周期BCC校验失败后会点亮制动灯</t>
        </is>
      </c>
      <c r="D17" s="191" t="inlineStr">
        <is>
          <t>SG1-BCC校验失败制动灯点亮</t>
        </is>
      </c>
      <c r="E17" s="191" t="inlineStr">
        <is>
          <t>—</t>
        </is>
      </c>
    </row>
  </sheetData>
  <mergeCells count="1">
    <mergeCell ref="A2:A10"/>
  </mergeCells>
  <pageMargins left="0.75" right="0.75" top="1" bottom="1" header="0.5" footer="0.5"/>
</worksheet>
</file>

<file path=xl/worksheets/sheet10.xml><?xml version="1.0" encoding="utf-8"?>
<worksheet xmlns="http://schemas.openxmlformats.org/spreadsheetml/2006/main">
  <sheetPr>
    <outlinePr summaryBelow="1" summaryRight="1"/>
    <pageSetUpPr fitToPage="1"/>
  </sheetPr>
  <dimension ref="A1:G37"/>
  <sheetViews>
    <sheetView showGridLines="0" view="pageBreakPreview" topLeftCell="A3" zoomScaleNormal="100" workbookViewId="0">
      <selection activeCell="G20" sqref="G20"/>
    </sheetView>
  </sheetViews>
  <sheetFormatPr baseColWidth="8" defaultColWidth="6.66666666666667" defaultRowHeight="14.5"/>
  <cols>
    <col width="8.08333333333333" customWidth="1" style="2" min="1" max="1"/>
    <col width="9.33333333333333" customWidth="1" style="2" min="2" max="3"/>
    <col width="12.4166666666667" customWidth="1" style="2" min="4" max="4"/>
    <col width="10.8333333333333" customWidth="1" style="2" min="5" max="5"/>
    <col width="11.9166666666667" customWidth="1" style="2" min="6" max="6"/>
    <col width="30.8333333333333" customWidth="1" style="2" min="7" max="7"/>
    <col width="6.66666666666667" customWidth="1" style="2" min="8" max="16384"/>
  </cols>
  <sheetData>
    <row r="1" ht="25.25" customHeight="1">
      <c r="A1" s="4" t="inlineStr">
        <is>
          <t>模板变更履历 / Template Change History</t>
        </is>
      </c>
    </row>
    <row r="2" ht="25.25" customFormat="1" customHeight="1" s="1">
      <c r="A2" s="163" t="n"/>
      <c r="B2" s="163" t="n"/>
      <c r="C2" s="163" t="n"/>
      <c r="D2" s="163" t="n"/>
      <c r="E2" s="163" t="n"/>
      <c r="F2" s="163" t="n"/>
      <c r="G2" s="163" t="n"/>
    </row>
    <row r="3" ht="49" customFormat="1" customHeight="1" s="1">
      <c r="A3" s="5" t="inlineStr">
        <is>
          <t>版本Version</t>
        </is>
      </c>
      <c r="B3" s="5" t="inlineStr">
        <is>
          <t>状态
Status</t>
        </is>
      </c>
      <c r="C3" s="5" t="inlineStr">
        <is>
          <t>编制人Author</t>
        </is>
      </c>
      <c r="D3" s="5" t="inlineStr">
        <is>
          <t>编制日期
Date</t>
        </is>
      </c>
      <c r="E3" s="5" t="inlineStr">
        <is>
          <t>批准人Approver</t>
        </is>
      </c>
      <c r="F3" s="5" t="inlineStr">
        <is>
          <t>批准日期Approve Date</t>
        </is>
      </c>
      <c r="G3" s="5" t="inlineStr">
        <is>
          <t>内容描述
Description</t>
        </is>
      </c>
    </row>
    <row r="4" ht="24.65" customHeight="1">
      <c r="A4" s="6" t="inlineStr">
        <is>
          <t>V0</t>
        </is>
      </c>
      <c r="B4" s="7" t="inlineStr">
        <is>
          <t>Released</t>
        </is>
      </c>
      <c r="C4" s="6" t="inlineStr">
        <is>
          <t>李超</t>
        </is>
      </c>
      <c r="D4" s="8" t="n">
        <v>45503</v>
      </c>
      <c r="E4" s="6" t="inlineStr">
        <is>
          <t>崔之文</t>
        </is>
      </c>
      <c r="F4" s="8" t="n">
        <v>45503</v>
      </c>
      <c r="G4" s="9" t="inlineStr">
        <is>
          <t>首次编制</t>
        </is>
      </c>
    </row>
    <row r="5" ht="25.25" customHeight="1">
      <c r="A5" s="7" t="n"/>
      <c r="B5" s="7" t="n"/>
      <c r="C5" s="7" t="n"/>
      <c r="D5" s="7" t="n"/>
      <c r="E5" s="7" t="n"/>
      <c r="F5" s="7" t="n"/>
      <c r="G5" s="7" t="n"/>
    </row>
    <row r="6" ht="25.25" customHeight="1">
      <c r="A6" s="7" t="n"/>
      <c r="B6" s="7" t="n"/>
      <c r="C6" s="7" t="n"/>
      <c r="D6" s="7" t="n"/>
      <c r="E6" s="7" t="n"/>
      <c r="F6" s="7" t="n"/>
      <c r="G6" s="7" t="n"/>
    </row>
    <row r="7" ht="25.25" customHeight="1">
      <c r="A7" s="7" t="n"/>
      <c r="B7" s="7" t="n"/>
      <c r="C7" s="7" t="n"/>
      <c r="D7" s="7" t="n"/>
      <c r="E7" s="7" t="n"/>
      <c r="F7" s="7" t="n"/>
      <c r="G7" s="7" t="n"/>
    </row>
    <row r="8" ht="25.25" customHeight="1">
      <c r="A8" s="7" t="n"/>
      <c r="B8" s="7" t="n"/>
      <c r="C8" s="7" t="n"/>
      <c r="D8" s="7" t="n"/>
      <c r="E8" s="7" t="n"/>
      <c r="F8" s="7" t="n"/>
      <c r="G8" s="7" t="n"/>
    </row>
    <row r="9" ht="25.25" customHeight="1">
      <c r="A9" s="7" t="n"/>
      <c r="B9" s="7" t="n"/>
      <c r="C9" s="7" t="n"/>
      <c r="D9" s="7" t="n"/>
      <c r="E9" s="7" t="n"/>
      <c r="F9" s="7" t="n"/>
      <c r="G9" s="7" t="n"/>
    </row>
    <row r="10" ht="25.25" customHeight="1">
      <c r="A10" s="7" t="n"/>
      <c r="B10" s="7" t="n"/>
      <c r="C10" s="7" t="n"/>
      <c r="D10" s="7" t="n"/>
      <c r="E10" s="7" t="n"/>
      <c r="F10" s="7" t="n"/>
      <c r="G10" s="7" t="n"/>
    </row>
    <row r="11" ht="25.25" customHeight="1">
      <c r="A11" s="7" t="n"/>
      <c r="B11" s="7" t="n"/>
      <c r="C11" s="7" t="n"/>
      <c r="D11" s="7" t="n"/>
      <c r="E11" s="7" t="n"/>
      <c r="F11" s="7" t="n"/>
      <c r="G11" s="7" t="n"/>
    </row>
    <row r="12" ht="25.25" customHeight="1">
      <c r="A12" s="7" t="n"/>
      <c r="B12" s="7" t="n"/>
      <c r="C12" s="7" t="n"/>
      <c r="D12" s="7" t="n"/>
      <c r="E12" s="7" t="n"/>
      <c r="F12" s="7" t="n"/>
      <c r="G12" s="7" t="n"/>
    </row>
    <row r="13" ht="25.25" customHeight="1">
      <c r="A13" s="7" t="n"/>
      <c r="B13" s="7" t="n"/>
      <c r="C13" s="7" t="n"/>
      <c r="D13" s="7" t="n"/>
      <c r="E13" s="7" t="n"/>
      <c r="F13" s="7" t="n"/>
      <c r="G13" s="7" t="n"/>
    </row>
    <row r="14" ht="25.25" customHeight="1">
      <c r="A14" s="7" t="n"/>
      <c r="B14" s="7" t="n"/>
      <c r="C14" s="7" t="n"/>
      <c r="D14" s="7" t="n"/>
      <c r="E14" s="7" t="n"/>
      <c r="F14" s="7" t="n"/>
      <c r="G14" s="7" t="n"/>
    </row>
    <row r="15" ht="25.25" customHeight="1">
      <c r="A15" s="7" t="n"/>
      <c r="B15" s="7" t="n"/>
      <c r="C15" s="7" t="n"/>
      <c r="D15" s="7" t="n"/>
      <c r="E15" s="7" t="n"/>
      <c r="F15" s="7" t="n"/>
      <c r="G15" s="7" t="n"/>
    </row>
    <row r="16" ht="25.25" customHeight="1">
      <c r="A16" s="7" t="n"/>
      <c r="B16" s="7" t="n"/>
      <c r="C16" s="7" t="n"/>
      <c r="D16" s="10" t="n"/>
      <c r="E16" s="7" t="n"/>
      <c r="F16" s="7" t="n"/>
      <c r="G16" s="11" t="n"/>
    </row>
    <row r="17" ht="25.25" customHeight="1">
      <c r="A17" s="7" t="n"/>
      <c r="B17" s="7" t="n"/>
      <c r="C17" s="7" t="n"/>
      <c r="D17" s="7" t="n"/>
      <c r="E17" s="7" t="n"/>
      <c r="F17" s="7" t="n"/>
      <c r="G17" s="7" t="n"/>
    </row>
    <row r="18" ht="25.25" customHeight="1">
      <c r="A18" s="7" t="n"/>
      <c r="B18" s="7" t="n"/>
      <c r="C18" s="7" t="n"/>
      <c r="D18" s="7" t="n"/>
      <c r="E18" s="7" t="n"/>
      <c r="F18" s="7" t="n"/>
      <c r="G18" s="7" t="n"/>
    </row>
    <row r="19" ht="25.25" customHeight="1">
      <c r="A19" s="7" t="n"/>
      <c r="B19" s="7" t="n"/>
      <c r="C19" s="7" t="n"/>
      <c r="D19" s="7" t="n"/>
      <c r="E19" s="7" t="n"/>
      <c r="F19" s="7" t="n"/>
      <c r="G19" s="7" t="n"/>
    </row>
    <row r="20" ht="25.25" customHeight="1">
      <c r="A20" s="7" t="n"/>
      <c r="B20" s="7" t="n"/>
      <c r="C20" s="7" t="n"/>
      <c r="D20" s="7" t="n"/>
      <c r="E20" s="7" t="n"/>
      <c r="F20" s="7" t="n"/>
      <c r="G20" s="7" t="n"/>
    </row>
    <row r="21" ht="24.65" customHeight="1">
      <c r="A21" s="7" t="n"/>
      <c r="B21" s="7" t="n"/>
      <c r="C21" s="7" t="n"/>
      <c r="D21" s="10" t="n"/>
      <c r="E21" s="7" t="n"/>
      <c r="F21" s="7" t="n"/>
      <c r="G21" s="11" t="n"/>
    </row>
    <row r="22" ht="25.25" customHeight="1">
      <c r="A22" s="7" t="n"/>
      <c r="B22" s="7" t="n"/>
      <c r="C22" s="7" t="n"/>
      <c r="D22" s="7" t="n"/>
      <c r="E22" s="7" t="n"/>
      <c r="F22" s="7" t="n"/>
      <c r="G22" s="7" t="n"/>
    </row>
    <row r="23" ht="25.25" customHeight="1">
      <c r="A23" s="7" t="n"/>
      <c r="B23" s="7" t="n"/>
      <c r="C23" s="7" t="n"/>
      <c r="D23" s="7" t="n"/>
      <c r="E23" s="7" t="n"/>
      <c r="F23" s="7" t="n"/>
      <c r="G23" s="7" t="n"/>
    </row>
    <row r="24" ht="25.25" customHeight="1">
      <c r="A24" s="7" t="n"/>
      <c r="B24" s="7" t="n"/>
      <c r="C24" s="7" t="n"/>
      <c r="D24" s="7" t="n"/>
      <c r="E24" s="7" t="n"/>
      <c r="F24" s="7" t="n"/>
      <c r="G24" s="7" t="n"/>
    </row>
    <row r="25" ht="25.25" customHeight="1">
      <c r="A25" s="7" t="n"/>
      <c r="B25" s="7" t="n"/>
      <c r="C25" s="7" t="n"/>
      <c r="D25" s="7" t="n"/>
      <c r="E25" s="7" t="n"/>
      <c r="F25" s="7" t="n"/>
      <c r="G25" s="7" t="n"/>
    </row>
    <row r="26" ht="25.25" customHeight="1">
      <c r="A26" s="7" t="n"/>
      <c r="B26" s="7" t="n"/>
      <c r="C26" s="7" t="n"/>
      <c r="D26" s="7" t="n"/>
      <c r="E26" s="7" t="n"/>
      <c r="F26" s="7" t="n"/>
      <c r="G26" s="7" t="n"/>
    </row>
    <row r="27" ht="25.25" customHeight="1">
      <c r="A27" s="7" t="n"/>
      <c r="B27" s="7" t="n"/>
      <c r="C27" s="7" t="n"/>
      <c r="D27" s="7" t="n"/>
      <c r="E27" s="7" t="n"/>
      <c r="F27" s="7" t="n"/>
      <c r="G27" s="7" t="n"/>
    </row>
    <row r="28" ht="25.25" customHeight="1">
      <c r="A28" s="7" t="n"/>
      <c r="B28" s="7" t="n"/>
      <c r="C28" s="7" t="n"/>
      <c r="D28" s="10" t="n"/>
      <c r="E28" s="7" t="n"/>
      <c r="F28" s="7" t="n"/>
      <c r="G28" s="11" t="n"/>
    </row>
    <row r="29" ht="25.25" customHeight="1">
      <c r="A29" s="7" t="n"/>
      <c r="B29" s="7" t="n"/>
      <c r="C29" s="7" t="n"/>
      <c r="D29" s="7" t="n"/>
      <c r="E29" s="7" t="n"/>
      <c r="F29" s="7" t="n"/>
      <c r="G29" s="7" t="n"/>
    </row>
    <row r="30" ht="25.25" customHeight="1">
      <c r="A30" s="7" t="n"/>
      <c r="B30" s="7" t="n"/>
      <c r="C30" s="7" t="n"/>
      <c r="D30" s="7" t="n"/>
      <c r="E30" s="7" t="n"/>
      <c r="F30" s="7" t="n"/>
      <c r="G30" s="7" t="n"/>
    </row>
    <row r="31" ht="25.25" customHeight="1">
      <c r="A31" s="7" t="n"/>
      <c r="B31" s="7" t="n"/>
      <c r="C31" s="7" t="n"/>
      <c r="D31" s="7" t="n"/>
      <c r="E31" s="7" t="n"/>
      <c r="F31" s="7" t="n"/>
      <c r="G31" s="7" t="n"/>
    </row>
    <row r="32" ht="25.25" customHeight="1">
      <c r="A32" s="7" t="n"/>
      <c r="B32" s="7" t="n"/>
      <c r="C32" s="7" t="n"/>
      <c r="D32" s="7" t="n"/>
      <c r="E32" s="7" t="n"/>
      <c r="F32" s="7" t="n"/>
      <c r="G32" s="7" t="n"/>
    </row>
    <row r="33" ht="25.25" customHeight="1">
      <c r="A33" s="7" t="n"/>
      <c r="B33" s="7" t="n"/>
      <c r="C33" s="7" t="n"/>
      <c r="D33" s="7" t="n"/>
      <c r="E33" s="7" t="n"/>
      <c r="F33" s="7" t="n"/>
      <c r="G33" s="7" t="n"/>
    </row>
    <row r="34" ht="25.25" customHeight="1">
      <c r="A34" s="7" t="n"/>
      <c r="B34" s="7" t="n"/>
      <c r="C34" s="7" t="n"/>
      <c r="D34" s="7" t="n"/>
      <c r="E34" s="7" t="n"/>
      <c r="F34" s="7" t="n"/>
      <c r="G34" s="7" t="n"/>
    </row>
    <row r="35" ht="25.25" customHeight="1">
      <c r="A35" s="7" t="n"/>
      <c r="B35" s="7" t="n"/>
      <c r="C35" s="7" t="n"/>
      <c r="D35" s="7" t="n"/>
      <c r="E35" s="7" t="n"/>
      <c r="F35" s="7" t="n"/>
      <c r="G35" s="7" t="n"/>
    </row>
    <row r="36" ht="25.25" customHeight="1">
      <c r="A36" s="7" t="n"/>
      <c r="B36" s="7" t="n"/>
      <c r="C36" s="7" t="n"/>
      <c r="D36" s="7" t="n"/>
      <c r="E36" s="7" t="n"/>
      <c r="F36" s="7" t="n"/>
      <c r="G36" s="7" t="n"/>
    </row>
    <row r="37" ht="25.25" customHeight="1">
      <c r="A37" s="7" t="n"/>
      <c r="B37" s="7" t="n"/>
      <c r="C37" s="7" t="n"/>
      <c r="D37" s="7" t="n"/>
      <c r="E37" s="7" t="n"/>
      <c r="F37" s="7" t="n"/>
      <c r="G37" s="7" t="n"/>
    </row>
  </sheetData>
  <mergeCells count="1">
    <mergeCell ref="A1:G2"/>
  </mergeCells>
  <dataValidations count="2">
    <dataValidation sqref="B4" showDropDown="0" showInputMessage="1" showErrorMessage="1" allowBlank="1" type="list">
      <formula1>"Draft,Released"</formula1>
    </dataValidation>
    <dataValidation sqref="IQ2:IQ3 SM2:SM3 ACI2:ACI3 AME2:AME3 AWA2:AWA3 BFW2:BFW3 BPS2:BPS3 BZO2:BZO3 CJK2:CJK3 CTG2:CTG3 DDC2:DDC3 DMY2:DMY3 DWU2:DWU3 EGQ2:EGQ3 EQM2:EQM3 FAI2:FAI3 FKE2:FKE3 FUA2:FUA3 GDW2:GDW3 GNS2:GNS3 GXO2:GXO3 HHK2:HHK3 HRG2:HRG3 IBC2:IBC3 IKY2:IKY3 IUU2:IUU3 JEQ2:JEQ3 JOM2:JOM3 JYI2:JYI3 KIE2:KIE3 KSA2:KSA3 LBW2:LBW3 LLS2:LLS3 LVO2:LVO3 MFK2:MFK3 MPG2:MPG3 MZC2:MZC3 NIY2:NIY3 NSU2:NSU3 OCQ2:OCQ3 OMM2:OMM3 OWI2:OWI3 PGE2:PGE3 PQA2:PQA3 PZW2:PZW3 QJS2:QJS3 QTO2:QTO3 RDK2:RDK3 RNG2:RNG3 RXC2:RXC3 SGY2:SGY3 SQU2:SQU3 TAQ2:TAQ3 TKM2:TKM3 TUI2:TUI3 UEE2:UEE3 UOA2:UOA3 UXW2:UXW3 VHS2:VHS3 VRO2:VRO3 WBK2:WBK3 WLG2:WLG3 WVC2:WVC3" showDropDown="0" showInputMessage="1" showErrorMessage="1" allowBlank="1" type="list">
      <formula1>"Open,Close"</formula1>
    </dataValidation>
  </dataValidations>
  <pageMargins left="0.7086614173228351" right="0.47244094488189" top="0.590551181102362" bottom="0.590551181102362" header="0.31496062992126" footer="0.31496062992126"/>
  <pageSetup orientation="portrait" paperSize="9" scale="89" fitToHeight="0" cellComments="asDisplayed" horizontalDpi="1200" verticalDpi="1200"/>
  <headerFooter>
    <oddHeader>&amp;L&amp;G</oddHeader>
    <oddFooter>&amp;C第 &amp;P 页，共 &amp;N 页</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2010-02-26T15:54:00Z</dcterms:created>
  <dcterms:modified xsi:type="dcterms:W3CDTF">2026-07-03T05:21:33Z</dcterms:modified>
  <cp:lastModifiedBy>听音喂唯夏</cp:lastModifiedBy>
  <cp:lastPrinted>2024-07-27T05:44:00Z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FAF032AEA15148049ABD850BE7DB0BDA_12</vt:lpwstr>
  </property>
  <property name="KSOProductBuildVer" fmtid="{D5CDD505-2E9C-101B-9397-08002B2CF9AE}" pid="3">
    <vt:lpwstr>2052-12.1.0.24657</vt:lpwstr>
  </property>
  <property name="CalculationRule" fmtid="{D5CDD505-2E9C-101B-9397-08002B2CF9AE}" pid="4">
    <vt:i4>0</vt:i4>
  </property>
</Properties>
</file>